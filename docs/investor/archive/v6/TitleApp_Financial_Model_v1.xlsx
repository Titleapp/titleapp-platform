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No Revenue" sheetId="2" state="visible" r:id="rId4"/>
    <sheet name="Base Case" sheetId="3" state="visible" r:id="rId5"/>
    <sheet name="Best Case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<sst xmlns="http://schemas.openxmlformats.org/spreadsheetml/2006/main" count="270" uniqueCount="145">
  <si>
    <t xml:space="preserve">TitleApp — Financial Model Assumptions</t>
  </si>
  <si>
    <t xml:space="preserve">The Title App LLC | March 2026</t>
  </si>
  <si>
    <t xml:space="preserve">Blue = editable input | Black = formula | Green = cross-sheet link</t>
  </si>
  <si>
    <t xml:space="preserve">RAISE &amp; RUNWAY</t>
  </si>
  <si>
    <t xml:space="preserve">Gross Raise</t>
  </si>
  <si>
    <t xml:space="preserve">Post-Money SAFE, $15M cap, 20% discount</t>
  </si>
  <si>
    <t xml:space="preserve">Wefunder Fees (%)</t>
  </si>
  <si>
    <t xml:space="preserve">Wefunder Fees ($)</t>
  </si>
  <si>
    <t xml:space="preserve">Legal &amp; Filing Fees</t>
  </si>
  <si>
    <t xml:space="preserve">Debt Repayment</t>
  </si>
  <si>
    <t xml:space="preserve">Net Proceeds</t>
  </si>
  <si>
    <t xml:space="preserve">Cash available for operations</t>
  </si>
  <si>
    <t xml:space="preserve">MONTHLY BURN RATE</t>
  </si>
  <si>
    <t xml:space="preserve">Engineering (2 FT)</t>
  </si>
  <si>
    <t xml:space="preserve">AI/API Costs (Anthropic, OpenAI)</t>
  </si>
  <si>
    <t xml:space="preserve">Infrastructure (Firebase, hosting)</t>
  </si>
  <si>
    <t xml:space="preserve">Marketing &amp; Growth</t>
  </si>
  <si>
    <t xml:space="preserve">Legal &amp; Compliance</t>
  </si>
  <si>
    <t xml:space="preserve">Admin &amp; Office</t>
  </si>
  <si>
    <t xml:space="preserve">CEO/CFO (deferred/minimal)</t>
  </si>
  <si>
    <t xml:space="preserve">Total Monthly Burn</t>
  </si>
  <si>
    <t xml:space="preserve">Zero-Revenue Runway (months)</t>
  </si>
  <si>
    <t xml:space="preserve">REVENUE ASSUMPTIONS — WORKER SUBSCRIPTIONS</t>
  </si>
  <si>
    <t xml:space="preserve">Avg Worker Price ($/mo)</t>
  </si>
  <si>
    <t xml:space="preserve">Blended across $29-$99 range</t>
  </si>
  <si>
    <t xml:space="preserve">Annual Discount</t>
  </si>
  <si>
    <t xml:space="preserve">Annual Subscriber Mix</t>
  </si>
  <si>
    <t xml:space="preserve">Effective Avg Price ($/mo)</t>
  </si>
  <si>
    <t xml:space="preserve">Monthly Churn Rate</t>
  </si>
  <si>
    <t xml:space="preserve">Workers per Subscriber (avg)</t>
  </si>
  <si>
    <t xml:space="preserve">Grows as cross-worker value proven</t>
  </si>
  <si>
    <t xml:space="preserve">Avg Revenue per Account ($/mo)</t>
  </si>
  <si>
    <t xml:space="preserve">REVENUE ASSUMPTIONS — OTHER STREAMS</t>
  </si>
  <si>
    <t xml:space="preserve">Creator Marketplace Take Rate</t>
  </si>
  <si>
    <t xml:space="preserve">Token/Usage Revenue per Sub ($/mo)</t>
  </si>
  <si>
    <t xml:space="preserve">Creator License Fee ($/yr)</t>
  </si>
  <si>
    <t xml:space="preserve">GROWTH SCENARIOS — MONTHLY NEW SUBSCRIBERS</t>
  </si>
  <si>
    <t xml:space="preserve">M1-3</t>
  </si>
  <si>
    <t xml:space="preserve">M4-6</t>
  </si>
  <si>
    <t xml:space="preserve">M7-9</t>
  </si>
  <si>
    <t xml:space="preserve">M10-12</t>
  </si>
  <si>
    <t xml:space="preserve">M13-18</t>
  </si>
  <si>
    <t xml:space="preserve">M19-24</t>
  </si>
  <si>
    <t xml:space="preserve">M25-36</t>
  </si>
  <si>
    <t xml:space="preserve">No Revenue</t>
  </si>
  <si>
    <t xml:space="preserve">Base Case</t>
  </si>
  <si>
    <t xml:space="preserve">New subs/month in each period</t>
  </si>
  <si>
    <t xml:space="preserve">Best Case</t>
  </si>
  <si>
    <t xml:space="preserve">BURN RATE GROWTH</t>
  </si>
  <si>
    <t xml:space="preserve">Burn Increase per Quarter</t>
  </si>
  <si>
    <t xml:space="preserve">Team growth, infra scaling</t>
  </si>
  <si>
    <t xml:space="preserve">WORKER CATALOG</t>
  </si>
  <si>
    <t xml:space="preserve">Total Workers (catalog)</t>
  </si>
  <si>
    <t xml:space="preserve">Workers Live (current)</t>
  </si>
  <si>
    <t xml:space="preserve">Workers In Development</t>
  </si>
  <si>
    <t xml:space="preserve">Workers on Waitlist</t>
  </si>
  <si>
    <t xml:space="preserve">Full Platform Monthly (all 52)</t>
  </si>
  <si>
    <t xml:space="preserve">GC Bundle (construction)</t>
  </si>
  <si>
    <t xml:space="preserve">Investor Bundle (financing)</t>
  </si>
  <si>
    <t xml:space="preserve">TitleApp — 36-Month Projection: No Revenue</t>
  </si>
  <si>
    <t xml:space="preserve">All figures in USD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</si>
  <si>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</si>
  <si>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</si>
  <si>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</si>
  <si>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</si>
  <si>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</si>
  <si>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</si>
  <si>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</si>
  <si>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</si>
  <si>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</si>
  <si>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</si>
  <si>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</si>
  <si>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</si>
  <si>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</si>
  <si>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</si>
  <si>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</si>
  <si>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</si>
  <si>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</si>
  <si>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</si>
  <si>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</si>
  <si>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</si>
  <si>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</si>
  <si>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</si>
  <si>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</si>
  <si>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</si>
  <si>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</si>
  <si>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</si>
  <si>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</si>
  <si>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</si>
  <si>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</si>
  <si>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</si>
  <si>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</si>
  <si>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</si>
  <si>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</si>
  <si>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</si>
  <si>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</si>
  <si>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</si>
  <si>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SUBSCRIBERS</t>
  </si>
  <si>
    <t xml:space="preserve">New Subscribers</t>
  </si>
  <si>
    <t xml:space="preserve">Churned Subscribers</t>
  </si>
  <si>
    <t xml:space="preserve">Net New Subscribers</t>
  </si>
  <si>
    <t xml:space="preserve">Cumulative Subscribers</t>
  </si>
  <si>
    <t xml:space="preserve">REVENUE</t>
  </si>
  <si>
    <t xml:space="preserve">Subscription Revenue</t>
  </si>
  <si>
    <t xml:space="preserve">Token/Usage Revenue</t>
  </si>
  <si>
    <t xml:space="preserve">Creator Licenses</t>
  </si>
  <si>
    <t xml:space="preserve">Total Monthly Revenue</t>
  </si>
  <si>
    <t xml:space="preserve">EXPENSES</t>
  </si>
  <si>
    <t xml:space="preserve">Monthly Burn (with growth)</t>
  </si>
  <si>
    <t xml:space="preserve">Variable AI Costs (per sub)</t>
  </si>
  <si>
    <t xml:space="preserve">Total Monthly Expenses</t>
  </si>
  <si>
    <t xml:space="preserve">CASH POSITION</t>
  </si>
  <si>
    <t xml:space="preserve">Monthly Net Income</t>
  </si>
  <si>
    <t xml:space="preserve">Cash Balance</t>
  </si>
  <si>
    <t xml:space="preserve">Cash Positive?</t>
  </si>
  <si>
    <t xml:space="preserve">KEY METRICS</t>
  </si>
  <si>
    <t xml:space="preserve">Monthly Recurring Revenue</t>
  </si>
  <si>
    <t xml:space="preserve">Annualized Revenue (ARR)</t>
  </si>
  <si>
    <t xml:space="preserve">Burn Multiple</t>
  </si>
  <si>
    <t xml:space="preserve">Months of Cash Remaining</t>
  </si>
  <si>
    <t xml:space="preserve">TitleApp — 36-Month Projection: Base Case</t>
  </si>
  <si>
    <t xml:space="preserve">TitleApp — 36-Month Projection: Best Case</t>
  </si>
  <si>
    <t xml:space="preserve">TitleApp — Scenario Comparison Summary</t>
  </si>
  <si>
    <t xml:space="preserve">Metric</t>
  </si>
  <si>
    <t xml:space="preserve">Net Proceeds from Raise</t>
  </si>
  <si>
    <t xml:space="preserve">Monthly Burn (starting)</t>
  </si>
  <si>
    <t xml:space="preserve">Month 12 Subscribers</t>
  </si>
  <si>
    <t xml:space="preserve">Month 24 Subscribers</t>
  </si>
  <si>
    <t xml:space="preserve">Month 36 Subscribers</t>
  </si>
  <si>
    <t xml:space="preserve">Month 12 MRR</t>
  </si>
  <si>
    <t xml:space="preserve">Month 24 MRR</t>
  </si>
  <si>
    <t xml:space="preserve">Month 36 MRR</t>
  </si>
  <si>
    <t xml:space="preserve">Month 12 ARR</t>
  </si>
  <si>
    <t xml:space="preserve">Month 24 ARR</t>
  </si>
  <si>
    <t xml:space="preserve">Month 36 ARR</t>
  </si>
  <si>
    <t xml:space="preserve">Month 12 Cash Balance</t>
  </si>
  <si>
    <t xml:space="preserve">Month 24 Cash Balance</t>
  </si>
  <si>
    <t xml:space="preserve">Month 36 Cash Balance</t>
  </si>
  <si>
    <t xml:space="preserve">N/A</t>
  </si>
  <si>
    <t xml:space="preserve">Cash Positive Month</t>
  </si>
  <si>
    <t xml:space="preserve">Key Takeaways</t>
  </si>
  <si>
    <t xml:space="preserve">No Revenue: Cash runs out in ~28 months. This is the baseline safety net.</t>
  </si>
  <si>
    <t xml:space="preserve">Base Case: Modest growth gets to cash-flow positive mid-2027. $1.07M raise provides comfortable runway.</t>
  </si>
  <si>
    <t xml:space="preserve">Best Case: Aggressive growth — 52-worker catalog drives bundle sales. Cash positive by early 2027.</t>
  </si>
  <si>
    <t xml:space="preserve">The 52-worker construction/development vertical is the accelerant. Bundle pricing ($630-$3,200/mo) dramatically increases ARPU.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</si>
</sst>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61"/>
      <name val="Arial"/>
      <family val="0"/>
      <charset val="1"/>
    </font>
    <font>
      <sz val="11"/>
      <color rgb="FF666666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4"/>
      <color rgb="FF1E276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2C5F2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5F2D"/>
        <bgColor rgb="FF333300"/>
      </patternFill>
    </fill>
    <fill>
      <patternFill patternType="solid">
        <fgColor rgb="FF1E2761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96167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E2761"/>
      <rgbColor rgb="FF339966"/>
      <rgbColor rgb="FF003300"/>
      <rgbColor rgb="FF333300"/>
      <rgbColor rgb="FF993300"/>
      <rgbColor rgb="FF993366"/>
      <rgbColor rgb="FF333399"/>
      <rgbColor rgb="FF2C5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761"/>
    <pageSetUpPr fitToPage="false"/>
  </sheetPr>
  <dimension ref="A1:I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5"/>
      <c r="C5" s="5"/>
    </row>
    <row r="6" customFormat="false" ht="15" hidden="false" customHeight="true" outlineLevel="0" collapsed="false">
      <c r="A6" s="6" t="s">
        <v>4</v>
      </c>
      <c r="B6" s="7" t="n">
        <v>1070000</v>
      </c>
      <c r="C6" s="8" t="s">
        <v>5</v>
      </c>
    </row>
    <row r="7" customFormat="false" ht="15" hidden="false" customHeight="true" outlineLevel="0" collapsed="false">
      <c r="A7" s="6" t="s">
        <v>6</v>
      </c>
      <c r="B7" s="9" t="n">
        <v>0.078</v>
      </c>
    </row>
    <row r="8" customFormat="false" ht="15" hidden="false" customHeight="true" outlineLevel="0" collapsed="false">
      <c r="A8" s="6" t="s">
        <v>7</v>
      </c>
      <c r="B8" s="10" t="n">
        <f aca="false">B6*B7</f>
        <v>83460</v>
      </c>
    </row>
    <row r="9" customFormat="false" ht="15" hidden="false" customHeight="true" outlineLevel="0" collapsed="false">
      <c r="A9" s="6" t="s">
        <v>8</v>
      </c>
      <c r="B9" s="7" t="n">
        <v>18500</v>
      </c>
    </row>
    <row r="10" customFormat="false" ht="15" hidden="false" customHeight="true" outlineLevel="0" collapsed="false">
      <c r="A10" s="6" t="s">
        <v>9</v>
      </c>
      <c r="B10" s="7" t="n">
        <v>165000</v>
      </c>
    </row>
    <row r="11" customFormat="false" ht="15" hidden="false" customHeight="true" outlineLevel="0" collapsed="false">
      <c r="A11" s="11" t="s">
        <v>10</v>
      </c>
      <c r="B11" s="12" t="n">
        <f aca="false">B6-B8-B9-B10</f>
        <v>803040</v>
      </c>
      <c r="C11" s="8" t="s">
        <v>11</v>
      </c>
    </row>
    <row r="13" customFormat="false" ht="15" hidden="false" customHeight="true" outlineLevel="0" collapsed="false">
      <c r="A13" s="5" t="s">
        <v>12</v>
      </c>
      <c r="B13" s="5"/>
      <c r="C13" s="5"/>
    </row>
    <row r="14" customFormat="false" ht="15" hidden="false" customHeight="true" outlineLevel="0" collapsed="false">
      <c r="A14" s="6" t="s">
        <v>13</v>
      </c>
      <c r="B14" s="7" t="n">
        <v>12000</v>
      </c>
    </row>
    <row r="15" customFormat="false" ht="15" hidden="false" customHeight="true" outlineLevel="0" collapsed="false">
      <c r="A15" s="6" t="s">
        <v>14</v>
      </c>
      <c r="B15" s="7" t="n">
        <v>3000</v>
      </c>
    </row>
    <row r="16" customFormat="false" ht="15" hidden="false" customHeight="true" outlineLevel="0" collapsed="false">
      <c r="A16" s="6" t="s">
        <v>15</v>
      </c>
      <c r="B16" s="7" t="n">
        <v>2500</v>
      </c>
    </row>
    <row r="17" customFormat="false" ht="15" hidden="false" customHeight="true" outlineLevel="0" collapsed="false">
      <c r="A17" s="6" t="s">
        <v>16</v>
      </c>
      <c r="B17" s="7" t="n">
        <v>3000</v>
      </c>
    </row>
    <row r="18" customFormat="false" ht="15" hidden="false" customHeight="true" outlineLevel="0" collapsed="false">
      <c r="A18" s="6" t="s">
        <v>17</v>
      </c>
      <c r="B18" s="7" t="n">
        <v>1500</v>
      </c>
    </row>
    <row r="19" customFormat="false" ht="15" hidden="false" customHeight="true" outlineLevel="0" collapsed="false">
      <c r="A19" s="6" t="s">
        <v>18</v>
      </c>
      <c r="B19" s="7" t="n">
        <v>1800</v>
      </c>
    </row>
    <row r="20" customFormat="false" ht="15" hidden="false" customHeight="true" outlineLevel="0" collapsed="false">
      <c r="A20" s="6" t="s">
        <v>19</v>
      </c>
      <c r="B20" s="7" t="n">
        <v>4000</v>
      </c>
    </row>
    <row r="21" customFormat="false" ht="15" hidden="false" customHeight="true" outlineLevel="0" collapsed="false">
      <c r="A21" s="11" t="s">
        <v>20</v>
      </c>
      <c r="B21" s="12" t="n">
        <f aca="false">SUM(B14:B20)</f>
        <v>27800</v>
      </c>
    </row>
    <row r="22" customFormat="false" ht="15" hidden="false" customHeight="true" outlineLevel="0" collapsed="false">
      <c r="A22" s="11" t="s">
        <v>21</v>
      </c>
      <c r="B22" s="13" t="n">
        <f aca="false">ROUND(B11/B21,0)</f>
        <v>29</v>
      </c>
    </row>
    <row r="24" customFormat="false" ht="15" hidden="false" customHeight="true" outlineLevel="0" collapsed="false">
      <c r="A24" s="5" t="s">
        <v>22</v>
      </c>
      <c r="B24" s="5"/>
      <c r="C24" s="5"/>
    </row>
    <row r="25" customFormat="false" ht="15" hidden="false" customHeight="true" outlineLevel="0" collapsed="false">
      <c r="A25" s="6" t="s">
        <v>23</v>
      </c>
      <c r="B25" s="7" t="n">
        <v>65</v>
      </c>
      <c r="C25" s="8" t="s">
        <v>24</v>
      </c>
    </row>
    <row r="26" customFormat="false" ht="15" hidden="false" customHeight="true" outlineLevel="0" collapsed="false">
      <c r="A26" s="6" t="s">
        <v>25</v>
      </c>
      <c r="B26" s="9" t="n">
        <v>0.2</v>
      </c>
    </row>
    <row r="27" customFormat="false" ht="15" hidden="false" customHeight="true" outlineLevel="0" collapsed="false">
      <c r="A27" s="6" t="s">
        <v>26</v>
      </c>
      <c r="B27" s="9" t="n">
        <v>0.3</v>
      </c>
    </row>
    <row r="28" customFormat="false" ht="15" hidden="false" customHeight="true" outlineLevel="0" collapsed="false">
      <c r="A28" s="6" t="s">
        <v>27</v>
      </c>
      <c r="B28" s="10" t="n">
        <f aca="false">B25*(1-B26*B27)</f>
        <v>61.1</v>
      </c>
    </row>
    <row r="29" customFormat="false" ht="15" hidden="false" customHeight="true" outlineLevel="0" collapsed="false">
      <c r="A29" s="6" t="s">
        <v>28</v>
      </c>
      <c r="B29" s="9" t="n">
        <v>0.05</v>
      </c>
    </row>
    <row r="31" customFormat="false" ht="15" hidden="false" customHeight="true" outlineLevel="0" collapsed="false">
      <c r="A31" s="6" t="s">
        <v>29</v>
      </c>
      <c r="B31" s="14" t="n">
        <v>2.5</v>
      </c>
      <c r="C31" s="8" t="s">
        <v>30</v>
      </c>
    </row>
    <row r="32" customFormat="false" ht="15" hidden="false" customHeight="true" outlineLevel="0" collapsed="false">
      <c r="A32" s="6" t="s">
        <v>31</v>
      </c>
      <c r="B32" s="10" t="n">
        <f aca="false">B28*B31</f>
        <v>152.75</v>
      </c>
    </row>
    <row r="34" customFormat="false" ht="15" hidden="false" customHeight="true" outlineLevel="0" collapsed="false">
      <c r="A34" s="5" t="s">
        <v>32</v>
      </c>
      <c r="B34" s="5"/>
      <c r="C34" s="5"/>
    </row>
    <row r="35" customFormat="false" ht="15" hidden="false" customHeight="true" outlineLevel="0" collapsed="false">
      <c r="A35" s="6" t="s">
        <v>33</v>
      </c>
      <c r="B35" s="9" t="n">
        <v>0.25</v>
      </c>
    </row>
    <row r="36" customFormat="false" ht="15" hidden="false" customHeight="true" outlineLevel="0" collapsed="false">
      <c r="A36" s="6" t="s">
        <v>34</v>
      </c>
      <c r="B36" s="7" t="n">
        <v>8</v>
      </c>
    </row>
    <row r="37" customFormat="false" ht="15" hidden="false" customHeight="true" outlineLevel="0" collapsed="false">
      <c r="A37" s="6" t="s">
        <v>35</v>
      </c>
      <c r="B37" s="7" t="n">
        <v>49</v>
      </c>
    </row>
    <row r="39" customFormat="false" ht="15" hidden="false" customHeight="true" outlineLevel="0" collapsed="false">
      <c r="A39" s="5" t="s">
        <v>36</v>
      </c>
      <c r="B39" s="5"/>
      <c r="C39" s="5"/>
    </row>
    <row r="40" customFormat="false" ht="15" hidden="false" customHeight="true" outlineLevel="0" collapsed="false">
      <c r="A40" s="15"/>
      <c r="B40" s="15" t="s">
        <v>37</v>
      </c>
      <c r="C40" s="15" t="s">
        <v>38</v>
      </c>
      <c r="D40" s="15" t="s">
        <v>39</v>
      </c>
      <c r="E40" s="15" t="s">
        <v>40</v>
      </c>
      <c r="F40" s="15" t="s">
        <v>41</v>
      </c>
      <c r="G40" s="15" t="s">
        <v>42</v>
      </c>
      <c r="H40" s="15" t="s">
        <v>43</v>
      </c>
    </row>
    <row r="41" customFormat="false" ht="15" hidden="false" customHeight="true" outlineLevel="0" collapsed="false">
      <c r="A41" s="6" t="s">
        <v>44</v>
      </c>
      <c r="B41" s="14" t="n">
        <v>0</v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</row>
    <row r="42" customFormat="false" ht="15" hidden="false" customHeight="true" outlineLevel="0" collapsed="false">
      <c r="A42" s="6" t="s">
        <v>45</v>
      </c>
      <c r="B42" s="14" t="n">
        <v>5</v>
      </c>
      <c r="C42" s="14" t="n">
        <v>10</v>
      </c>
      <c r="D42" s="14" t="n">
        <v>20</v>
      </c>
      <c r="E42" s="14" t="n">
        <v>35</v>
      </c>
      <c r="F42" s="14" t="n">
        <v>50</v>
      </c>
      <c r="G42" s="14" t="n">
        <v>75</v>
      </c>
      <c r="H42" s="14" t="n">
        <v>100</v>
      </c>
      <c r="I42" s="8" t="s">
        <v>46</v>
      </c>
    </row>
    <row r="43" customFormat="false" ht="15" hidden="false" customHeight="true" outlineLevel="0" collapsed="false">
      <c r="A43" s="6" t="s">
        <v>47</v>
      </c>
      <c r="B43" s="14" t="n">
        <v>10</v>
      </c>
      <c r="C43" s="14" t="n">
        <v>25</v>
      </c>
      <c r="D43" s="14" t="n">
        <v>50</v>
      </c>
      <c r="E43" s="14" t="n">
        <v>80</v>
      </c>
      <c r="F43" s="14" t="n">
        <v>120</v>
      </c>
      <c r="G43" s="14" t="n">
        <v>175</v>
      </c>
      <c r="H43" s="14" t="n">
        <v>250</v>
      </c>
    </row>
    <row r="45" customFormat="false" ht="15" hidden="false" customHeight="true" outlineLevel="0" collapsed="false">
      <c r="A45" s="5" t="s">
        <v>48</v>
      </c>
      <c r="B45" s="5"/>
      <c r="C45" s="5"/>
    </row>
    <row r="46" customFormat="false" ht="15" hidden="false" customHeight="true" outlineLevel="0" collapsed="false">
      <c r="A46" s="6" t="s">
        <v>49</v>
      </c>
      <c r="B46" s="9" t="n">
        <v>0.05</v>
      </c>
      <c r="C46" s="8" t="s">
        <v>50</v>
      </c>
    </row>
    <row r="48" customFormat="false" ht="15" hidden="false" customHeight="true" outlineLevel="0" collapsed="false">
      <c r="A48" s="5" t="s">
        <v>51</v>
      </c>
      <c r="B48" s="5"/>
      <c r="C48" s="5"/>
    </row>
    <row r="49" customFormat="false" ht="15" hidden="false" customHeight="true" outlineLevel="0" collapsed="false">
      <c r="A49" s="6" t="s">
        <v>52</v>
      </c>
      <c r="B49" s="14" t="n">
        <v>52</v>
      </c>
    </row>
    <row r="50" customFormat="false" ht="15" hidden="false" customHeight="true" outlineLevel="0" collapsed="false">
      <c r="A50" s="6" t="s">
        <v>53</v>
      </c>
      <c r="B50" s="14" t="n">
        <v>2</v>
      </c>
    </row>
    <row r="51" customFormat="false" ht="15" hidden="false" customHeight="true" outlineLevel="0" collapsed="false">
      <c r="A51" s="6" t="s">
        <v>54</v>
      </c>
      <c r="B51" s="14" t="n">
        <v>4</v>
      </c>
    </row>
    <row r="52" customFormat="false" ht="15" hidden="false" customHeight="true" outlineLevel="0" collapsed="false">
      <c r="A52" s="6" t="s">
        <v>55</v>
      </c>
      <c r="B52" s="14" t="n">
        <v>46</v>
      </c>
    </row>
    <row r="53" customFormat="false" ht="15" hidden="false" customHeight="true" outlineLevel="0" collapsed="false">
      <c r="A53" s="6" t="s">
        <v>56</v>
      </c>
      <c r="B53" s="7" t="n">
        <v>3216</v>
      </c>
    </row>
    <row r="54" customFormat="false" ht="15" hidden="false" customHeight="true" outlineLevel="0" collapsed="false">
      <c r="A54" s="6" t="s">
        <v>57</v>
      </c>
      <c r="B54" s="7" t="n">
        <v>630</v>
      </c>
    </row>
    <row r="55" customFormat="false" ht="15" hidden="false" customHeight="true" outlineLevel="0" collapsed="false">
      <c r="A55" s="6" t="s">
        <v>58</v>
      </c>
      <c r="B55" s="7" t="n">
        <v>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7" min="2" style="1" width="12"/>
  </cols>
  <sheetData>
    <row r="1" customFormat="false" ht="17.25" hidden="false" customHeight="true" outlineLevel="0" collapsed="false">
      <c r="A1" s="16" t="s">
        <v>59</v>
      </c>
    </row>
    <row r="2" customFormat="false" ht="15" hidden="false" customHeight="true" outlineLevel="0" collapsed="false">
      <c r="A2" s="8" t="s">
        <v>60</v>
      </c>
    </row>
    <row r="4" customFormat="false" ht="15" hidden="false" customHeight="true" outlineLevel="0" collapsed="false">
      <c r="A4" s="17"/>
      <c r="B4" s="18" t="s">
        <v>61</v>
      </c>
      <c r="C4" s="18" t="s">
        <v>62</v>
      </c>
      <c r="D4" s="18" t="s">
        <v>63</v>
      </c>
      <c r="E4" s="18" t="s">
        <v>64</v>
      </c>
      <c r="F4" s="18" t="s">
        <v>65</v>
      </c>
      <c r="G4" s="18" t="s">
        <v>66</v>
      </c>
      <c r="H4" s="18" t="s">
        <v>67</v>
      </c>
      <c r="I4" s="18" t="s">
        <v>68</v>
      </c>
      <c r="J4" s="18" t="s">
        <v>69</v>
      </c>
      <c r="K4" s="18" t="s">
        <v>70</v>
      </c>
      <c r="L4" s="18" t="s">
        <v>71</v>
      </c>
      <c r="M4" s="18" t="s">
        <v>72</v>
      </c>
      <c r="N4" s="18" t="s">
        <v>73</v>
      </c>
      <c r="O4" s="18" t="s">
        <v>74</v>
      </c>
      <c r="P4" s="18" t="s">
        <v>75</v>
      </c>
      <c r="Q4" s="18" t="s">
        <v>76</v>
      </c>
      <c r="R4" s="18" t="s">
        <v>77</v>
      </c>
      <c r="S4" s="18" t="s">
        <v>78</v>
      </c>
      <c r="T4" s="18" t="s">
        <v>79</v>
      </c>
      <c r="U4" s="18" t="s">
        <v>80</v>
      </c>
      <c r="V4" s="18" t="s">
        <v>81</v>
      </c>
      <c r="W4" s="18" t="s">
        <v>82</v>
      </c>
      <c r="X4" s="18" t="s">
        <v>83</v>
      </c>
      <c r="Y4" s="18" t="s">
        <v>84</v>
      </c>
      <c r="Z4" s="18" t="s">
        <v>85</v>
      </c>
      <c r="AA4" s="18" t="s">
        <v>86</v>
      </c>
      <c r="AB4" s="18" t="s">
        <v>87</v>
      </c>
      <c r="AC4" s="18" t="s">
        <v>88</v>
      </c>
      <c r="AD4" s="18" t="s">
        <v>89</v>
      </c>
      <c r="AE4" s="18" t="s">
        <v>90</v>
      </c>
      <c r="AF4" s="18" t="s">
        <v>91</v>
      </c>
      <c r="AG4" s="18" t="s">
        <v>92</v>
      </c>
      <c r="AH4" s="18" t="s">
        <v>93</v>
      </c>
      <c r="AI4" s="18" t="s">
        <v>94</v>
      </c>
      <c r="AJ4" s="18" t="s">
        <v>95</v>
      </c>
      <c r="AK4" s="18" t="s">
        <v>96</v>
      </c>
    </row>
    <row r="5" customFormat="false" ht="15" hidden="false" customHeight="true" outlineLevel="0" collapsed="false">
      <c r="A5" s="5" t="s">
        <v>97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customFormat="false" ht="15" hidden="false" customHeight="true" outlineLevel="0" collapsed="false">
      <c r="A6" s="6" t="s">
        <v>98</v>
      </c>
      <c r="B6" s="19" t="n">
        <v>0</v>
      </c>
      <c r="C6" s="19" t="n">
        <v>0</v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9" t="n">
        <v>0</v>
      </c>
      <c r="O6" s="19" t="n">
        <v>0</v>
      </c>
      <c r="P6" s="19" t="n">
        <v>0</v>
      </c>
      <c r="Q6" s="19" t="n">
        <v>0</v>
      </c>
      <c r="R6" s="19" t="n">
        <v>0</v>
      </c>
      <c r="S6" s="19" t="n">
        <v>0</v>
      </c>
      <c r="T6" s="19" t="n">
        <v>0</v>
      </c>
      <c r="U6" s="19" t="n">
        <v>0</v>
      </c>
      <c r="V6" s="19" t="n">
        <v>0</v>
      </c>
      <c r="W6" s="19" t="n">
        <v>0</v>
      </c>
      <c r="X6" s="19" t="n">
        <v>0</v>
      </c>
      <c r="Y6" s="19" t="n">
        <v>0</v>
      </c>
      <c r="Z6" s="19" t="n">
        <v>0</v>
      </c>
      <c r="AA6" s="19" t="n">
        <v>0</v>
      </c>
      <c r="AB6" s="19" t="n">
        <v>0</v>
      </c>
      <c r="AC6" s="19" t="n">
        <v>0</v>
      </c>
      <c r="AD6" s="19" t="n">
        <v>0</v>
      </c>
      <c r="AE6" s="19" t="n">
        <v>0</v>
      </c>
      <c r="AF6" s="19" t="n">
        <v>0</v>
      </c>
      <c r="AG6" s="19" t="n">
        <v>0</v>
      </c>
      <c r="AH6" s="19" t="n">
        <v>0</v>
      </c>
      <c r="AI6" s="19" t="n">
        <v>0</v>
      </c>
      <c r="AJ6" s="19" t="n">
        <v>0</v>
      </c>
      <c r="AK6" s="19" t="n">
        <v>0</v>
      </c>
    </row>
    <row r="7" customFormat="false" ht="15" hidden="false" customHeight="true" outlineLevel="0" collapsed="false">
      <c r="A7" s="6" t="s">
        <v>99</v>
      </c>
      <c r="B7" s="20" t="n">
        <v>0</v>
      </c>
      <c r="C7" s="20" t="n">
        <f aca="false">-ROUND(B9*Assumptions!$B$29,0)</f>
        <v>-0</v>
      </c>
      <c r="D7" s="20" t="n">
        <f aca="false">-ROUND(C9*Assumptions!$B$29,0)</f>
        <v>-0</v>
      </c>
      <c r="E7" s="20" t="n">
        <f aca="false">-ROUND(D9*Assumptions!$B$29,0)</f>
        <v>-0</v>
      </c>
      <c r="F7" s="20" t="n">
        <f aca="false">-ROUND(E9*Assumptions!$B$29,0)</f>
        <v>-0</v>
      </c>
      <c r="G7" s="20" t="n">
        <f aca="false">-ROUND(F9*Assumptions!$B$29,0)</f>
        <v>-0</v>
      </c>
      <c r="H7" s="20" t="n">
        <f aca="false">-ROUND(G9*Assumptions!$B$29,0)</f>
        <v>-0</v>
      </c>
      <c r="I7" s="20" t="n">
        <f aca="false">-ROUND(H9*Assumptions!$B$29,0)</f>
        <v>-0</v>
      </c>
      <c r="J7" s="20" t="n">
        <f aca="false">-ROUND(I9*Assumptions!$B$29,0)</f>
        <v>-0</v>
      </c>
      <c r="K7" s="20" t="n">
        <f aca="false">-ROUND(J9*Assumptions!$B$29,0)</f>
        <v>-0</v>
      </c>
      <c r="L7" s="20" t="n">
        <f aca="false">-ROUND(K9*Assumptions!$B$29,0)</f>
        <v>-0</v>
      </c>
      <c r="M7" s="20" t="n">
        <f aca="false">-ROUND(L9*Assumptions!$B$29,0)</f>
        <v>-0</v>
      </c>
      <c r="N7" s="20" t="n">
        <f aca="false">-ROUND(M9*Assumptions!$B$29,0)</f>
        <v>-0</v>
      </c>
      <c r="O7" s="20" t="n">
        <f aca="false">-ROUND(N9*Assumptions!$B$29,0)</f>
        <v>-0</v>
      </c>
      <c r="P7" s="20" t="n">
        <f aca="false">-ROUND(O9*Assumptions!$B$29,0)</f>
        <v>-0</v>
      </c>
      <c r="Q7" s="20" t="n">
        <f aca="false">-ROUND(P9*Assumptions!$B$29,0)</f>
        <v>-0</v>
      </c>
      <c r="R7" s="20" t="n">
        <f aca="false">-ROUND(Q9*Assumptions!$B$29,0)</f>
        <v>-0</v>
      </c>
      <c r="S7" s="20" t="n">
        <f aca="false">-ROUND(R9*Assumptions!$B$29,0)</f>
        <v>-0</v>
      </c>
      <c r="T7" s="20" t="n">
        <f aca="false">-ROUND(S9*Assumptions!$B$29,0)</f>
        <v>-0</v>
      </c>
      <c r="U7" s="20" t="n">
        <f aca="false">-ROUND(T9*Assumptions!$B$29,0)</f>
        <v>-0</v>
      </c>
      <c r="V7" s="20" t="n">
        <f aca="false">-ROUND(U9*Assumptions!$B$29,0)</f>
        <v>-0</v>
      </c>
      <c r="W7" s="20" t="n">
        <f aca="false">-ROUND(V9*Assumptions!$B$29,0)</f>
        <v>-0</v>
      </c>
      <c r="X7" s="20" t="n">
        <f aca="false">-ROUND(W9*Assumptions!$B$29,0)</f>
        <v>-0</v>
      </c>
      <c r="Y7" s="20" t="n">
        <f aca="false">-ROUND(X9*Assumptions!$B$29,0)</f>
        <v>-0</v>
      </c>
      <c r="Z7" s="20" t="n">
        <f aca="false">-ROUND(Y9*Assumptions!$B$29,0)</f>
        <v>-0</v>
      </c>
      <c r="AA7" s="20" t="n">
        <f aca="false">-ROUND(Z9*Assumptions!$B$29,0)</f>
        <v>-0</v>
      </c>
      <c r="AB7" s="20" t="n">
        <f aca="false">-ROUND(AA9*Assumptions!$B$29,0)</f>
        <v>-0</v>
      </c>
      <c r="AC7" s="20" t="n">
        <f aca="false">-ROUND(AB9*Assumptions!$B$29,0)</f>
        <v>-0</v>
      </c>
      <c r="AD7" s="20" t="n">
        <f aca="false">-ROUND(AC9*Assumptions!$B$29,0)</f>
        <v>-0</v>
      </c>
      <c r="AE7" s="20" t="n">
        <f aca="false">-ROUND(AD9*Assumptions!$B$29,0)</f>
        <v>-0</v>
      </c>
      <c r="AF7" s="20" t="n">
        <f aca="false">-ROUND(AE9*Assumptions!$B$29,0)</f>
        <v>-0</v>
      </c>
      <c r="AG7" s="20" t="n">
        <f aca="false">-ROUND(AF9*Assumptions!$B$29,0)</f>
        <v>-0</v>
      </c>
      <c r="AH7" s="20" t="n">
        <f aca="false">-ROUND(AG9*Assumptions!$B$29,0)</f>
        <v>-0</v>
      </c>
      <c r="AI7" s="20" t="n">
        <f aca="false">-ROUND(AH9*Assumptions!$B$29,0)</f>
        <v>-0</v>
      </c>
      <c r="AJ7" s="20" t="n">
        <f aca="false">-ROUND(AI9*Assumptions!$B$29,0)</f>
        <v>-0</v>
      </c>
      <c r="AK7" s="20" t="n">
        <f aca="false">-ROUND(AJ9*Assumptions!$B$29,0)</f>
        <v>-0</v>
      </c>
    </row>
    <row r="8" customFormat="false" ht="15" hidden="false" customHeight="true" outlineLevel="0" collapsed="false">
      <c r="A8" s="6" t="s">
        <v>100</v>
      </c>
      <c r="B8" s="20" t="n">
        <f aca="false">B6+B7</f>
        <v>0</v>
      </c>
      <c r="C8" s="20" t="n">
        <f aca="false">C6+C7</f>
        <v>0</v>
      </c>
      <c r="D8" s="20" t="n">
        <f aca="false">D6+D7</f>
        <v>0</v>
      </c>
      <c r="E8" s="20" t="n">
        <f aca="false">E6+E7</f>
        <v>0</v>
      </c>
      <c r="F8" s="20" t="n">
        <f aca="false">F6+F7</f>
        <v>0</v>
      </c>
      <c r="G8" s="20" t="n">
        <f aca="false">G6+G7</f>
        <v>0</v>
      </c>
      <c r="H8" s="20" t="n">
        <f aca="false">H6+H7</f>
        <v>0</v>
      </c>
      <c r="I8" s="20" t="n">
        <f aca="false">I6+I7</f>
        <v>0</v>
      </c>
      <c r="J8" s="20" t="n">
        <f aca="false">J6+J7</f>
        <v>0</v>
      </c>
      <c r="K8" s="20" t="n">
        <f aca="false">K6+K7</f>
        <v>0</v>
      </c>
      <c r="L8" s="20" t="n">
        <f aca="false">L6+L7</f>
        <v>0</v>
      </c>
      <c r="M8" s="20" t="n">
        <f aca="false">M6+M7</f>
        <v>0</v>
      </c>
      <c r="N8" s="20" t="n">
        <f aca="false">N6+N7</f>
        <v>0</v>
      </c>
      <c r="O8" s="20" t="n">
        <f aca="false">O6+O7</f>
        <v>0</v>
      </c>
      <c r="P8" s="20" t="n">
        <f aca="false">P6+P7</f>
        <v>0</v>
      </c>
      <c r="Q8" s="20" t="n">
        <f aca="false">Q6+Q7</f>
        <v>0</v>
      </c>
      <c r="R8" s="20" t="n">
        <f aca="false">R6+R7</f>
        <v>0</v>
      </c>
      <c r="S8" s="20" t="n">
        <f aca="false">S6+S7</f>
        <v>0</v>
      </c>
      <c r="T8" s="20" t="n">
        <f aca="false">T6+T7</f>
        <v>0</v>
      </c>
      <c r="U8" s="20" t="n">
        <f aca="false">U6+U7</f>
        <v>0</v>
      </c>
      <c r="V8" s="20" t="n">
        <f aca="false">V6+V7</f>
        <v>0</v>
      </c>
      <c r="W8" s="20" t="n">
        <f aca="false">W6+W7</f>
        <v>0</v>
      </c>
      <c r="X8" s="20" t="n">
        <f aca="false">X6+X7</f>
        <v>0</v>
      </c>
      <c r="Y8" s="20" t="n">
        <f aca="false">Y6+Y7</f>
        <v>0</v>
      </c>
      <c r="Z8" s="20" t="n">
        <f aca="false">Z6+Z7</f>
        <v>0</v>
      </c>
      <c r="AA8" s="20" t="n">
        <f aca="false">AA6+AA7</f>
        <v>0</v>
      </c>
      <c r="AB8" s="20" t="n">
        <f aca="false">AB6+AB7</f>
        <v>0</v>
      </c>
      <c r="AC8" s="20" t="n">
        <f aca="false">AC6+AC7</f>
        <v>0</v>
      </c>
      <c r="AD8" s="20" t="n">
        <f aca="false">AD6+AD7</f>
        <v>0</v>
      </c>
      <c r="AE8" s="20" t="n">
        <f aca="false">AE6+AE7</f>
        <v>0</v>
      </c>
      <c r="AF8" s="20" t="n">
        <f aca="false">AF6+AF7</f>
        <v>0</v>
      </c>
      <c r="AG8" s="20" t="n">
        <f aca="false">AG6+AG7</f>
        <v>0</v>
      </c>
      <c r="AH8" s="20" t="n">
        <f aca="false">AH6+AH7</f>
        <v>0</v>
      </c>
      <c r="AI8" s="20" t="n">
        <f aca="false">AI6+AI7</f>
        <v>0</v>
      </c>
      <c r="AJ8" s="20" t="n">
        <f aca="false">AJ6+AJ7</f>
        <v>0</v>
      </c>
      <c r="AK8" s="20" t="n">
        <f aca="false">AK6+AK7</f>
        <v>0</v>
      </c>
    </row>
    <row r="9" customFormat="false" ht="15" hidden="false" customHeight="true" outlineLevel="0" collapsed="false">
      <c r="A9" s="11" t="s">
        <v>101</v>
      </c>
      <c r="B9" s="13" t="n">
        <f aca="false">B8</f>
        <v>0</v>
      </c>
      <c r="C9" s="13" t="n">
        <f aca="false">B9+C8</f>
        <v>0</v>
      </c>
      <c r="D9" s="13" t="n">
        <f aca="false">C9+D8</f>
        <v>0</v>
      </c>
      <c r="E9" s="13" t="n">
        <f aca="false">D9+E8</f>
        <v>0</v>
      </c>
      <c r="F9" s="13" t="n">
        <f aca="false">E9+F8</f>
        <v>0</v>
      </c>
      <c r="G9" s="13" t="n">
        <f aca="false">F9+G8</f>
        <v>0</v>
      </c>
      <c r="H9" s="13" t="n">
        <f aca="false">G9+H8</f>
        <v>0</v>
      </c>
      <c r="I9" s="13" t="n">
        <f aca="false">H9+I8</f>
        <v>0</v>
      </c>
      <c r="J9" s="13" t="n">
        <f aca="false">I9+J8</f>
        <v>0</v>
      </c>
      <c r="K9" s="13" t="n">
        <f aca="false">J9+K8</f>
        <v>0</v>
      </c>
      <c r="L9" s="13" t="n">
        <f aca="false">K9+L8</f>
        <v>0</v>
      </c>
      <c r="M9" s="13" t="n">
        <f aca="false">L9+M8</f>
        <v>0</v>
      </c>
      <c r="N9" s="13" t="n">
        <f aca="false">M9+N8</f>
        <v>0</v>
      </c>
      <c r="O9" s="13" t="n">
        <f aca="false">N9+O8</f>
        <v>0</v>
      </c>
      <c r="P9" s="13" t="n">
        <f aca="false">O9+P8</f>
        <v>0</v>
      </c>
      <c r="Q9" s="13" t="n">
        <f aca="false">P9+Q8</f>
        <v>0</v>
      </c>
      <c r="R9" s="13" t="n">
        <f aca="false">Q9+R8</f>
        <v>0</v>
      </c>
      <c r="S9" s="13" t="n">
        <f aca="false">R9+S8</f>
        <v>0</v>
      </c>
      <c r="T9" s="13" t="n">
        <f aca="false">S9+T8</f>
        <v>0</v>
      </c>
      <c r="U9" s="13" t="n">
        <f aca="false">T9+U8</f>
        <v>0</v>
      </c>
      <c r="V9" s="13" t="n">
        <f aca="false">U9+V8</f>
        <v>0</v>
      </c>
      <c r="W9" s="13" t="n">
        <f aca="false">V9+W8</f>
        <v>0</v>
      </c>
      <c r="X9" s="13" t="n">
        <f aca="false">W9+X8</f>
        <v>0</v>
      </c>
      <c r="Y9" s="13" t="n">
        <f aca="false">X9+Y8</f>
        <v>0</v>
      </c>
      <c r="Z9" s="13" t="n">
        <f aca="false">Y9+Z8</f>
        <v>0</v>
      </c>
      <c r="AA9" s="13" t="n">
        <f aca="false">Z9+AA8</f>
        <v>0</v>
      </c>
      <c r="AB9" s="13" t="n">
        <f aca="false">AA9+AB8</f>
        <v>0</v>
      </c>
      <c r="AC9" s="13" t="n">
        <f aca="false">AB9+AC8</f>
        <v>0</v>
      </c>
      <c r="AD9" s="13" t="n">
        <f aca="false">AC9+AD8</f>
        <v>0</v>
      </c>
      <c r="AE9" s="13" t="n">
        <f aca="false">AD9+AE8</f>
        <v>0</v>
      </c>
      <c r="AF9" s="13" t="n">
        <f aca="false">AE9+AF8</f>
        <v>0</v>
      </c>
      <c r="AG9" s="13" t="n">
        <f aca="false">AF9+AG8</f>
        <v>0</v>
      </c>
      <c r="AH9" s="13" t="n">
        <f aca="false">AG9+AH8</f>
        <v>0</v>
      </c>
      <c r="AI9" s="13" t="n">
        <f aca="false">AH9+AI8</f>
        <v>0</v>
      </c>
      <c r="AJ9" s="13" t="n">
        <f aca="false">AI9+AJ8</f>
        <v>0</v>
      </c>
      <c r="AK9" s="13" t="n">
        <f aca="false">AJ9+AK8</f>
        <v>0</v>
      </c>
    </row>
    <row r="11" customFormat="false" ht="15" hidden="false" customHeight="true" outlineLevel="0" collapsed="false">
      <c r="A11" s="5" t="s">
        <v>102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customFormat="false" ht="15" hidden="false" customHeight="true" outlineLevel="0" collapsed="false">
      <c r="A12" s="6" t="s">
        <v>103</v>
      </c>
      <c r="B12" s="10" t="n">
        <f aca="false">B9*Assumptions!$B$32</f>
        <v>0</v>
      </c>
      <c r="C12" s="10" t="n">
        <f aca="false">C9*Assumptions!$B$32</f>
        <v>0</v>
      </c>
      <c r="D12" s="10" t="n">
        <f aca="false">D9*Assumptions!$B$32</f>
        <v>0</v>
      </c>
      <c r="E12" s="10" t="n">
        <f aca="false">E9*Assumptions!$B$32</f>
        <v>0</v>
      </c>
      <c r="F12" s="10" t="n">
        <f aca="false">F9*Assumptions!$B$32</f>
        <v>0</v>
      </c>
      <c r="G12" s="10" t="n">
        <f aca="false">G9*Assumptions!$B$32</f>
        <v>0</v>
      </c>
      <c r="H12" s="10" t="n">
        <f aca="false">H9*Assumptions!$B$32</f>
        <v>0</v>
      </c>
      <c r="I12" s="10" t="n">
        <f aca="false">I9*Assumptions!$B$32</f>
        <v>0</v>
      </c>
      <c r="J12" s="10" t="n">
        <f aca="false">J9*Assumptions!$B$32</f>
        <v>0</v>
      </c>
      <c r="K12" s="10" t="n">
        <f aca="false">K9*Assumptions!$B$32</f>
        <v>0</v>
      </c>
      <c r="L12" s="10" t="n">
        <f aca="false">L9*Assumptions!$B$32</f>
        <v>0</v>
      </c>
      <c r="M12" s="10" t="n">
        <f aca="false">M9*Assumptions!$B$32</f>
        <v>0</v>
      </c>
      <c r="N12" s="10" t="n">
        <f aca="false">N9*Assumptions!$B$32</f>
        <v>0</v>
      </c>
      <c r="O12" s="10" t="n">
        <f aca="false">O9*Assumptions!$B$32</f>
        <v>0</v>
      </c>
      <c r="P12" s="10" t="n">
        <f aca="false">P9*Assumptions!$B$32</f>
        <v>0</v>
      </c>
      <c r="Q12" s="10" t="n">
        <f aca="false">Q9*Assumptions!$B$32</f>
        <v>0</v>
      </c>
      <c r="R12" s="10" t="n">
        <f aca="false">R9*Assumptions!$B$32</f>
        <v>0</v>
      </c>
      <c r="S12" s="10" t="n">
        <f aca="false">S9*Assumptions!$B$32</f>
        <v>0</v>
      </c>
      <c r="T12" s="10" t="n">
        <f aca="false">T9*Assumptions!$B$32</f>
        <v>0</v>
      </c>
      <c r="U12" s="10" t="n">
        <f aca="false">U9*Assumptions!$B$32</f>
        <v>0</v>
      </c>
      <c r="V12" s="10" t="n">
        <f aca="false">V9*Assumptions!$B$32</f>
        <v>0</v>
      </c>
      <c r="W12" s="10" t="n">
        <f aca="false">W9*Assumptions!$B$32</f>
        <v>0</v>
      </c>
      <c r="X12" s="10" t="n">
        <f aca="false">X9*Assumptions!$B$32</f>
        <v>0</v>
      </c>
      <c r="Y12" s="10" t="n">
        <f aca="false">Y9*Assumptions!$B$32</f>
        <v>0</v>
      </c>
      <c r="Z12" s="10" t="n">
        <f aca="false">Z9*Assumptions!$B$32</f>
        <v>0</v>
      </c>
      <c r="AA12" s="10" t="n">
        <f aca="false">AA9*Assumptions!$B$32</f>
        <v>0</v>
      </c>
      <c r="AB12" s="10" t="n">
        <f aca="false">AB9*Assumptions!$B$32</f>
        <v>0</v>
      </c>
      <c r="AC12" s="10" t="n">
        <f aca="false">AC9*Assumptions!$B$32</f>
        <v>0</v>
      </c>
      <c r="AD12" s="10" t="n">
        <f aca="false">AD9*Assumptions!$B$32</f>
        <v>0</v>
      </c>
      <c r="AE12" s="10" t="n">
        <f aca="false">AE9*Assumptions!$B$32</f>
        <v>0</v>
      </c>
      <c r="AF12" s="10" t="n">
        <f aca="false">AF9*Assumptions!$B$32</f>
        <v>0</v>
      </c>
      <c r="AG12" s="10" t="n">
        <f aca="false">AG9*Assumptions!$B$32</f>
        <v>0</v>
      </c>
      <c r="AH12" s="10" t="n">
        <f aca="false">AH9*Assumptions!$B$32</f>
        <v>0</v>
      </c>
      <c r="AI12" s="10" t="n">
        <f aca="false">AI9*Assumptions!$B$32</f>
        <v>0</v>
      </c>
      <c r="AJ12" s="10" t="n">
        <f aca="false">AJ9*Assumptions!$B$32</f>
        <v>0</v>
      </c>
      <c r="AK12" s="10" t="n">
        <f aca="false">AK9*Assumptions!$B$32</f>
        <v>0</v>
      </c>
    </row>
    <row r="13" customFormat="false" ht="15" hidden="false" customHeight="true" outlineLevel="0" collapsed="false">
      <c r="A13" s="6" t="s">
        <v>104</v>
      </c>
      <c r="B13" s="10" t="n">
        <f aca="false">B9*Assumptions!$B$36</f>
        <v>0</v>
      </c>
      <c r="C13" s="10" t="n">
        <f aca="false">C9*Assumptions!$B$36</f>
        <v>0</v>
      </c>
      <c r="D13" s="10" t="n">
        <f aca="false">D9*Assumptions!$B$36</f>
        <v>0</v>
      </c>
      <c r="E13" s="10" t="n">
        <f aca="false">E9*Assumptions!$B$36</f>
        <v>0</v>
      </c>
      <c r="F13" s="10" t="n">
        <f aca="false">F9*Assumptions!$B$36</f>
        <v>0</v>
      </c>
      <c r="G13" s="10" t="n">
        <f aca="false">G9*Assumptions!$B$36</f>
        <v>0</v>
      </c>
      <c r="H13" s="10" t="n">
        <f aca="false">H9*Assumptions!$B$36</f>
        <v>0</v>
      </c>
      <c r="I13" s="10" t="n">
        <f aca="false">I9*Assumptions!$B$36</f>
        <v>0</v>
      </c>
      <c r="J13" s="10" t="n">
        <f aca="false">J9*Assumptions!$B$36</f>
        <v>0</v>
      </c>
      <c r="K13" s="10" t="n">
        <f aca="false">K9*Assumptions!$B$36</f>
        <v>0</v>
      </c>
      <c r="L13" s="10" t="n">
        <f aca="false">L9*Assumptions!$B$36</f>
        <v>0</v>
      </c>
      <c r="M13" s="10" t="n">
        <f aca="false">M9*Assumptions!$B$36</f>
        <v>0</v>
      </c>
      <c r="N13" s="10" t="n">
        <f aca="false">N9*Assumptions!$B$36</f>
        <v>0</v>
      </c>
      <c r="O13" s="10" t="n">
        <f aca="false">O9*Assumptions!$B$36</f>
        <v>0</v>
      </c>
      <c r="P13" s="10" t="n">
        <f aca="false">P9*Assumptions!$B$36</f>
        <v>0</v>
      </c>
      <c r="Q13" s="10" t="n">
        <f aca="false">Q9*Assumptions!$B$36</f>
        <v>0</v>
      </c>
      <c r="R13" s="10" t="n">
        <f aca="false">R9*Assumptions!$B$36</f>
        <v>0</v>
      </c>
      <c r="S13" s="10" t="n">
        <f aca="false">S9*Assumptions!$B$36</f>
        <v>0</v>
      </c>
      <c r="T13" s="10" t="n">
        <f aca="false">T9*Assumptions!$B$36</f>
        <v>0</v>
      </c>
      <c r="U13" s="10" t="n">
        <f aca="false">U9*Assumptions!$B$36</f>
        <v>0</v>
      </c>
      <c r="V13" s="10" t="n">
        <f aca="false">V9*Assumptions!$B$36</f>
        <v>0</v>
      </c>
      <c r="W13" s="10" t="n">
        <f aca="false">W9*Assumptions!$B$36</f>
        <v>0</v>
      </c>
      <c r="X13" s="10" t="n">
        <f aca="false">X9*Assumptions!$B$36</f>
        <v>0</v>
      </c>
      <c r="Y13" s="10" t="n">
        <f aca="false">Y9*Assumptions!$B$36</f>
        <v>0</v>
      </c>
      <c r="Z13" s="10" t="n">
        <f aca="false">Z9*Assumptions!$B$36</f>
        <v>0</v>
      </c>
      <c r="AA13" s="10" t="n">
        <f aca="false">AA9*Assumptions!$B$36</f>
        <v>0</v>
      </c>
      <c r="AB13" s="10" t="n">
        <f aca="false">AB9*Assumptions!$B$36</f>
        <v>0</v>
      </c>
      <c r="AC13" s="10" t="n">
        <f aca="false">AC9*Assumptions!$B$36</f>
        <v>0</v>
      </c>
      <c r="AD13" s="10" t="n">
        <f aca="false">AD9*Assumptions!$B$36</f>
        <v>0</v>
      </c>
      <c r="AE13" s="10" t="n">
        <f aca="false">AE9*Assumptions!$B$36</f>
        <v>0</v>
      </c>
      <c r="AF13" s="10" t="n">
        <f aca="false">AF9*Assumptions!$B$36</f>
        <v>0</v>
      </c>
      <c r="AG13" s="10" t="n">
        <f aca="false">AG9*Assumptions!$B$36</f>
        <v>0</v>
      </c>
      <c r="AH13" s="10" t="n">
        <f aca="false">AH9*Assumptions!$B$36</f>
        <v>0</v>
      </c>
      <c r="AI13" s="10" t="n">
        <f aca="false">AI9*Assumptions!$B$36</f>
        <v>0</v>
      </c>
      <c r="AJ13" s="10" t="n">
        <f aca="false">AJ9*Assumptions!$B$36</f>
        <v>0</v>
      </c>
      <c r="AK13" s="10" t="n">
        <f aca="false">AK9*Assumptions!$B$36</f>
        <v>0</v>
      </c>
    </row>
    <row r="14" customFormat="false" ht="15" hidden="false" customHeight="true" outlineLevel="0" collapsed="false">
      <c r="A14" s="6" t="s">
        <v>105</v>
      </c>
      <c r="B14" s="10" t="n">
        <f aca="false">ROUND(B9*0.1,0)*Assumptions!$B$37/12</f>
        <v>0</v>
      </c>
      <c r="C14" s="10" t="n">
        <f aca="false">ROUND(C9*0.1,0)*Assumptions!$B$37/12</f>
        <v>0</v>
      </c>
      <c r="D14" s="10" t="n">
        <f aca="false">ROUND(D9*0.1,0)*Assumptions!$B$37/12</f>
        <v>0</v>
      </c>
      <c r="E14" s="10" t="n">
        <f aca="false">ROUND(E9*0.1,0)*Assumptions!$B$37/12</f>
        <v>0</v>
      </c>
      <c r="F14" s="10" t="n">
        <f aca="false">ROUND(F9*0.1,0)*Assumptions!$B$37/12</f>
        <v>0</v>
      </c>
      <c r="G14" s="10" t="n">
        <f aca="false">ROUND(G9*0.1,0)*Assumptions!$B$37/12</f>
        <v>0</v>
      </c>
      <c r="H14" s="10" t="n">
        <f aca="false">ROUND(H9*0.1,0)*Assumptions!$B$37/12</f>
        <v>0</v>
      </c>
      <c r="I14" s="10" t="n">
        <f aca="false">ROUND(I9*0.1,0)*Assumptions!$B$37/12</f>
        <v>0</v>
      </c>
      <c r="J14" s="10" t="n">
        <f aca="false">ROUND(J9*0.1,0)*Assumptions!$B$37/12</f>
        <v>0</v>
      </c>
      <c r="K14" s="10" t="n">
        <f aca="false">ROUND(K9*0.1,0)*Assumptions!$B$37/12</f>
        <v>0</v>
      </c>
      <c r="L14" s="10" t="n">
        <f aca="false">ROUND(L9*0.1,0)*Assumptions!$B$37/12</f>
        <v>0</v>
      </c>
      <c r="M14" s="10" t="n">
        <f aca="false">ROUND(M9*0.1,0)*Assumptions!$B$37/12</f>
        <v>0</v>
      </c>
      <c r="N14" s="10" t="n">
        <f aca="false">ROUND(N9*0.1,0)*Assumptions!$B$37/12</f>
        <v>0</v>
      </c>
      <c r="O14" s="10" t="n">
        <f aca="false">ROUND(O9*0.1,0)*Assumptions!$B$37/12</f>
        <v>0</v>
      </c>
      <c r="P14" s="10" t="n">
        <f aca="false">ROUND(P9*0.1,0)*Assumptions!$B$37/12</f>
        <v>0</v>
      </c>
      <c r="Q14" s="10" t="n">
        <f aca="false">ROUND(Q9*0.1,0)*Assumptions!$B$37/12</f>
        <v>0</v>
      </c>
      <c r="R14" s="10" t="n">
        <f aca="false">ROUND(R9*0.1,0)*Assumptions!$B$37/12</f>
        <v>0</v>
      </c>
      <c r="S14" s="10" t="n">
        <f aca="false">ROUND(S9*0.1,0)*Assumptions!$B$37/12</f>
        <v>0</v>
      </c>
      <c r="T14" s="10" t="n">
        <f aca="false">ROUND(T9*0.1,0)*Assumptions!$B$37/12</f>
        <v>0</v>
      </c>
      <c r="U14" s="10" t="n">
        <f aca="false">ROUND(U9*0.1,0)*Assumptions!$B$37/12</f>
        <v>0</v>
      </c>
      <c r="V14" s="10" t="n">
        <f aca="false">ROUND(V9*0.1,0)*Assumptions!$B$37/12</f>
        <v>0</v>
      </c>
      <c r="W14" s="10" t="n">
        <f aca="false">ROUND(W9*0.1,0)*Assumptions!$B$37/12</f>
        <v>0</v>
      </c>
      <c r="X14" s="10" t="n">
        <f aca="false">ROUND(X9*0.1,0)*Assumptions!$B$37/12</f>
        <v>0</v>
      </c>
      <c r="Y14" s="10" t="n">
        <f aca="false">ROUND(Y9*0.1,0)*Assumptions!$B$37/12</f>
        <v>0</v>
      </c>
      <c r="Z14" s="10" t="n">
        <f aca="false">ROUND(Z9*0.1,0)*Assumptions!$B$37/12</f>
        <v>0</v>
      </c>
      <c r="AA14" s="10" t="n">
        <f aca="false">ROUND(AA9*0.1,0)*Assumptions!$B$37/12</f>
        <v>0</v>
      </c>
      <c r="AB14" s="10" t="n">
        <f aca="false">ROUND(AB9*0.1,0)*Assumptions!$B$37/12</f>
        <v>0</v>
      </c>
      <c r="AC14" s="10" t="n">
        <f aca="false">ROUND(AC9*0.1,0)*Assumptions!$B$37/12</f>
        <v>0</v>
      </c>
      <c r="AD14" s="10" t="n">
        <f aca="false">ROUND(AD9*0.1,0)*Assumptions!$B$37/12</f>
        <v>0</v>
      </c>
      <c r="AE14" s="10" t="n">
        <f aca="false">ROUND(AE9*0.1,0)*Assumptions!$B$37/12</f>
        <v>0</v>
      </c>
      <c r="AF14" s="10" t="n">
        <f aca="false">ROUND(AF9*0.1,0)*Assumptions!$B$37/12</f>
        <v>0</v>
      </c>
      <c r="AG14" s="10" t="n">
        <f aca="false">ROUND(AG9*0.1,0)*Assumptions!$B$37/12</f>
        <v>0</v>
      </c>
      <c r="AH14" s="10" t="n">
        <f aca="false">ROUND(AH9*0.1,0)*Assumptions!$B$37/12</f>
        <v>0</v>
      </c>
      <c r="AI14" s="10" t="n">
        <f aca="false">ROUND(AI9*0.1,0)*Assumptions!$B$37/12</f>
        <v>0</v>
      </c>
      <c r="AJ14" s="10" t="n">
        <f aca="false">ROUND(AJ9*0.1,0)*Assumptions!$B$37/12</f>
        <v>0</v>
      </c>
      <c r="AK14" s="10" t="n">
        <f aca="false">ROUND(AK9*0.1,0)*Assumptions!$B$37/12</f>
        <v>0</v>
      </c>
    </row>
    <row r="15" customFormat="false" ht="15" hidden="false" customHeight="true" outlineLevel="0" collapsed="false">
      <c r="A15" s="11" t="s">
        <v>106</v>
      </c>
      <c r="B15" s="21" t="n">
        <f aca="false">B12+B13+B14</f>
        <v>0</v>
      </c>
      <c r="C15" s="21" t="n">
        <f aca="false">C12+C13+C14</f>
        <v>0</v>
      </c>
      <c r="D15" s="21" t="n">
        <f aca="false">D12+D13+D14</f>
        <v>0</v>
      </c>
      <c r="E15" s="21" t="n">
        <f aca="false">E12+E13+E14</f>
        <v>0</v>
      </c>
      <c r="F15" s="21" t="n">
        <f aca="false">F12+F13+F14</f>
        <v>0</v>
      </c>
      <c r="G15" s="21" t="n">
        <f aca="false">G12+G13+G14</f>
        <v>0</v>
      </c>
      <c r="H15" s="21" t="n">
        <f aca="false">H12+H13+H14</f>
        <v>0</v>
      </c>
      <c r="I15" s="21" t="n">
        <f aca="false">I12+I13+I14</f>
        <v>0</v>
      </c>
      <c r="J15" s="21" t="n">
        <f aca="false">J12+J13+J14</f>
        <v>0</v>
      </c>
      <c r="K15" s="21" t="n">
        <f aca="false">K12+K13+K14</f>
        <v>0</v>
      </c>
      <c r="L15" s="21" t="n">
        <f aca="false">L12+L13+L14</f>
        <v>0</v>
      </c>
      <c r="M15" s="21" t="n">
        <f aca="false">M12+M13+M14</f>
        <v>0</v>
      </c>
      <c r="N15" s="21" t="n">
        <f aca="false">N12+N13+N14</f>
        <v>0</v>
      </c>
      <c r="O15" s="21" t="n">
        <f aca="false">O12+O13+O14</f>
        <v>0</v>
      </c>
      <c r="P15" s="21" t="n">
        <f aca="false">P12+P13+P14</f>
        <v>0</v>
      </c>
      <c r="Q15" s="21" t="n">
        <f aca="false">Q12+Q13+Q14</f>
        <v>0</v>
      </c>
      <c r="R15" s="21" t="n">
        <f aca="false">R12+R13+R14</f>
        <v>0</v>
      </c>
      <c r="S15" s="21" t="n">
        <f aca="false">S12+S13+S14</f>
        <v>0</v>
      </c>
      <c r="T15" s="21" t="n">
        <f aca="false">T12+T13+T14</f>
        <v>0</v>
      </c>
      <c r="U15" s="21" t="n">
        <f aca="false">U12+U13+U14</f>
        <v>0</v>
      </c>
      <c r="V15" s="21" t="n">
        <f aca="false">V12+V13+V14</f>
        <v>0</v>
      </c>
      <c r="W15" s="21" t="n">
        <f aca="false">W12+W13+W14</f>
        <v>0</v>
      </c>
      <c r="X15" s="21" t="n">
        <f aca="false">X12+X13+X14</f>
        <v>0</v>
      </c>
      <c r="Y15" s="21" t="n">
        <f aca="false">Y12+Y13+Y14</f>
        <v>0</v>
      </c>
      <c r="Z15" s="21" t="n">
        <f aca="false">Z12+Z13+Z14</f>
        <v>0</v>
      </c>
      <c r="AA15" s="21" t="n">
        <f aca="false">AA12+AA13+AA14</f>
        <v>0</v>
      </c>
      <c r="AB15" s="21" t="n">
        <f aca="false">AB12+AB13+AB14</f>
        <v>0</v>
      </c>
      <c r="AC15" s="21" t="n">
        <f aca="false">AC12+AC13+AC14</f>
        <v>0</v>
      </c>
      <c r="AD15" s="21" t="n">
        <f aca="false">AD12+AD13+AD14</f>
        <v>0</v>
      </c>
      <c r="AE15" s="21" t="n">
        <f aca="false">AE12+AE13+AE14</f>
        <v>0</v>
      </c>
      <c r="AF15" s="21" t="n">
        <f aca="false">AF12+AF13+AF14</f>
        <v>0</v>
      </c>
      <c r="AG15" s="21" t="n">
        <f aca="false">AG12+AG13+AG14</f>
        <v>0</v>
      </c>
      <c r="AH15" s="21" t="n">
        <f aca="false">AH12+AH13+AH14</f>
        <v>0</v>
      </c>
      <c r="AI15" s="21" t="n">
        <f aca="false">AI12+AI13+AI14</f>
        <v>0</v>
      </c>
      <c r="AJ15" s="21" t="n">
        <f aca="false">AJ12+AJ13+AJ14</f>
        <v>0</v>
      </c>
      <c r="AK15" s="21" t="n">
        <f aca="false">AK12+AK13+AK14</f>
        <v>0</v>
      </c>
    </row>
    <row r="17" customFormat="false" ht="15" hidden="false" customHeight="true" outlineLevel="0" collapsed="false">
      <c r="A17" s="5" t="s">
        <v>107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customFormat="false" ht="15" hidden="false" customHeight="true" outlineLevel="0" collapsed="false">
      <c r="A18" s="6" t="s">
        <v>108</v>
      </c>
      <c r="B18" s="10" t="n">
        <f aca="false">Assumptions!$B$21*(1+Assumptions!$B$46)^0</f>
        <v>27800</v>
      </c>
      <c r="C18" s="10" t="n">
        <f aca="false">Assumptions!$B$21*(1+Assumptions!$B$46)^0</f>
        <v>27800</v>
      </c>
      <c r="D18" s="10" t="n">
        <f aca="false">Assumptions!$B$21*(1+Assumptions!$B$46)^0</f>
        <v>27800</v>
      </c>
      <c r="E18" s="10" t="n">
        <f aca="false">Assumptions!$B$21*(1+Assumptions!$B$46)^1</f>
        <v>29190</v>
      </c>
      <c r="F18" s="10" t="n">
        <f aca="false">Assumptions!$B$21*(1+Assumptions!$B$46)^1</f>
        <v>29190</v>
      </c>
      <c r="G18" s="10" t="n">
        <f aca="false">Assumptions!$B$21*(1+Assumptions!$B$46)^1</f>
        <v>29190</v>
      </c>
      <c r="H18" s="10" t="n">
        <f aca="false">Assumptions!$B$21*(1+Assumptions!$B$46)^2</f>
        <v>30649.5</v>
      </c>
      <c r="I18" s="10" t="n">
        <f aca="false">Assumptions!$B$21*(1+Assumptions!$B$46)^2</f>
        <v>30649.5</v>
      </c>
      <c r="J18" s="10" t="n">
        <f aca="false">Assumptions!$B$21*(1+Assumptions!$B$46)^2</f>
        <v>30649.5</v>
      </c>
      <c r="K18" s="10" t="n">
        <f aca="false">Assumptions!$B$21*(1+Assumptions!$B$46)^3</f>
        <v>32181.975</v>
      </c>
      <c r="L18" s="10" t="n">
        <f aca="false">Assumptions!$B$21*(1+Assumptions!$B$46)^3</f>
        <v>32181.975</v>
      </c>
      <c r="M18" s="10" t="n">
        <f aca="false">Assumptions!$B$21*(1+Assumptions!$B$46)^3</f>
        <v>32181.975</v>
      </c>
      <c r="N18" s="10" t="n">
        <f aca="false">Assumptions!$B$21*(1+Assumptions!$B$46)^4</f>
        <v>33791.07375</v>
      </c>
      <c r="O18" s="10" t="n">
        <f aca="false">Assumptions!$B$21*(1+Assumptions!$B$46)^4</f>
        <v>33791.07375</v>
      </c>
      <c r="P18" s="10" t="n">
        <f aca="false">Assumptions!$B$21*(1+Assumptions!$B$46)^4</f>
        <v>33791.07375</v>
      </c>
      <c r="Q18" s="10" t="n">
        <f aca="false">Assumptions!$B$21*(1+Assumptions!$B$46)^5</f>
        <v>35480.6274375</v>
      </c>
      <c r="R18" s="10" t="n">
        <f aca="false">Assumptions!$B$21*(1+Assumptions!$B$46)^5</f>
        <v>35480.6274375</v>
      </c>
      <c r="S18" s="10" t="n">
        <f aca="false">Assumptions!$B$21*(1+Assumptions!$B$46)^5</f>
        <v>35480.6274375</v>
      </c>
      <c r="T18" s="10" t="n">
        <f aca="false">Assumptions!$B$21*(1+Assumptions!$B$46)^6</f>
        <v>37254.658809375</v>
      </c>
      <c r="U18" s="10" t="n">
        <f aca="false">Assumptions!$B$21*(1+Assumptions!$B$46)^6</f>
        <v>37254.658809375</v>
      </c>
      <c r="V18" s="10" t="n">
        <f aca="false">Assumptions!$B$21*(1+Assumptions!$B$46)^6</f>
        <v>37254.658809375</v>
      </c>
      <c r="W18" s="10" t="n">
        <f aca="false">Assumptions!$B$21*(1+Assumptions!$B$46)^7</f>
        <v>39117.3917498438</v>
      </c>
      <c r="X18" s="10" t="n">
        <f aca="false">Assumptions!$B$21*(1+Assumptions!$B$46)^7</f>
        <v>39117.3917498438</v>
      </c>
      <c r="Y18" s="10" t="n">
        <f aca="false">Assumptions!$B$21*(1+Assumptions!$B$46)^7</f>
        <v>39117.3917498438</v>
      </c>
      <c r="Z18" s="10" t="n">
        <f aca="false">Assumptions!$B$21*(1+Assumptions!$B$46)^8</f>
        <v>41073.261337336</v>
      </c>
      <c r="AA18" s="10" t="n">
        <f aca="false">Assumptions!$B$21*(1+Assumptions!$B$46)^8</f>
        <v>41073.261337336</v>
      </c>
      <c r="AB18" s="10" t="n">
        <f aca="false">Assumptions!$B$21*(1+Assumptions!$B$46)^8</f>
        <v>41073.261337336</v>
      </c>
      <c r="AC18" s="10" t="n">
        <f aca="false">Assumptions!$B$21*(1+Assumptions!$B$46)^9</f>
        <v>43126.9244042028</v>
      </c>
      <c r="AD18" s="10" t="n">
        <f aca="false">Assumptions!$B$21*(1+Assumptions!$B$46)^9</f>
        <v>43126.9244042028</v>
      </c>
      <c r="AE18" s="10" t="n">
        <f aca="false">Assumptions!$B$21*(1+Assumptions!$B$46)^9</f>
        <v>43126.9244042028</v>
      </c>
      <c r="AF18" s="10" t="n">
        <f aca="false">Assumptions!$B$21*(1+Assumptions!$B$46)^10</f>
        <v>45283.2706244129</v>
      </c>
      <c r="AG18" s="10" t="n">
        <f aca="false">Assumptions!$B$21*(1+Assumptions!$B$46)^10</f>
        <v>45283.2706244129</v>
      </c>
      <c r="AH18" s="10" t="n">
        <f aca="false">Assumptions!$B$21*(1+Assumptions!$B$46)^10</f>
        <v>45283.2706244129</v>
      </c>
      <c r="AI18" s="10" t="n">
        <f aca="false">Assumptions!$B$21*(1+Assumptions!$B$46)^11</f>
        <v>47547.4341556335</v>
      </c>
      <c r="AJ18" s="10" t="n">
        <f aca="false">Assumptions!$B$21*(1+Assumptions!$B$46)^11</f>
        <v>47547.4341556335</v>
      </c>
      <c r="AK18" s="10" t="n">
        <f aca="false">Assumptions!$B$21*(1+Assumptions!$B$46)^11</f>
        <v>47547.4341556335</v>
      </c>
    </row>
    <row r="19" customFormat="false" ht="15" hidden="false" customHeight="true" outlineLevel="0" collapsed="false">
      <c r="A19" s="6" t="s">
        <v>109</v>
      </c>
      <c r="B19" s="10" t="n">
        <f aca="false">MAX(0,B9*5-Assumptions!$B$15)</f>
        <v>0</v>
      </c>
      <c r="C19" s="10" t="n">
        <f aca="false">MAX(0,C9*5-Assumptions!$B$15)</f>
        <v>0</v>
      </c>
      <c r="D19" s="10" t="n">
        <f aca="false">MAX(0,D9*5-Assumptions!$B$15)</f>
        <v>0</v>
      </c>
      <c r="E19" s="10" t="n">
        <f aca="false">MAX(0,E9*5-Assumptions!$B$15)</f>
        <v>0</v>
      </c>
      <c r="F19" s="10" t="n">
        <f aca="false">MAX(0,F9*5-Assumptions!$B$15)</f>
        <v>0</v>
      </c>
      <c r="G19" s="10" t="n">
        <f aca="false">MAX(0,G9*5-Assumptions!$B$15)</f>
        <v>0</v>
      </c>
      <c r="H19" s="10" t="n">
        <f aca="false">MAX(0,H9*5-Assumptions!$B$15)</f>
        <v>0</v>
      </c>
      <c r="I19" s="10" t="n">
        <f aca="false">MAX(0,I9*5-Assumptions!$B$15)</f>
        <v>0</v>
      </c>
      <c r="J19" s="10" t="n">
        <f aca="false">MAX(0,J9*5-Assumptions!$B$15)</f>
        <v>0</v>
      </c>
      <c r="K19" s="10" t="n">
        <f aca="false">MAX(0,K9*5-Assumptions!$B$15)</f>
        <v>0</v>
      </c>
      <c r="L19" s="10" t="n">
        <f aca="false">MAX(0,L9*5-Assumptions!$B$15)</f>
        <v>0</v>
      </c>
      <c r="M19" s="10" t="n">
        <f aca="false">MAX(0,M9*5-Assumptions!$B$15)</f>
        <v>0</v>
      </c>
      <c r="N19" s="10" t="n">
        <f aca="false">MAX(0,N9*5-Assumptions!$B$15)</f>
        <v>0</v>
      </c>
      <c r="O19" s="10" t="n">
        <f aca="false">MAX(0,O9*5-Assumptions!$B$15)</f>
        <v>0</v>
      </c>
      <c r="P19" s="10" t="n">
        <f aca="false">MAX(0,P9*5-Assumptions!$B$15)</f>
        <v>0</v>
      </c>
      <c r="Q19" s="10" t="n">
        <f aca="false">MAX(0,Q9*5-Assumptions!$B$15)</f>
        <v>0</v>
      </c>
      <c r="R19" s="10" t="n">
        <f aca="false">MAX(0,R9*5-Assumptions!$B$15)</f>
        <v>0</v>
      </c>
      <c r="S19" s="10" t="n">
        <f aca="false">MAX(0,S9*5-Assumptions!$B$15)</f>
        <v>0</v>
      </c>
      <c r="T19" s="10" t="n">
        <f aca="false">MAX(0,T9*5-Assumptions!$B$15)</f>
        <v>0</v>
      </c>
      <c r="U19" s="10" t="n">
        <f aca="false">MAX(0,U9*5-Assumptions!$B$15)</f>
        <v>0</v>
      </c>
      <c r="V19" s="10" t="n">
        <f aca="false">MAX(0,V9*5-Assumptions!$B$15)</f>
        <v>0</v>
      </c>
      <c r="W19" s="10" t="n">
        <f aca="false">MAX(0,W9*5-Assumptions!$B$15)</f>
        <v>0</v>
      </c>
      <c r="X19" s="10" t="n">
        <f aca="false">MAX(0,X9*5-Assumptions!$B$15)</f>
        <v>0</v>
      </c>
      <c r="Y19" s="10" t="n">
        <f aca="false">MAX(0,Y9*5-Assumptions!$B$15)</f>
        <v>0</v>
      </c>
      <c r="Z19" s="10" t="n">
        <f aca="false">MAX(0,Z9*5-Assumptions!$B$15)</f>
        <v>0</v>
      </c>
      <c r="AA19" s="10" t="n">
        <f aca="false">MAX(0,AA9*5-Assumptions!$B$15)</f>
        <v>0</v>
      </c>
      <c r="AB19" s="10" t="n">
        <f aca="false">MAX(0,AB9*5-Assumptions!$B$15)</f>
        <v>0</v>
      </c>
      <c r="AC19" s="10" t="n">
        <f aca="false">MAX(0,AC9*5-Assumptions!$B$15)</f>
        <v>0</v>
      </c>
      <c r="AD19" s="10" t="n">
        <f aca="false">MAX(0,AD9*5-Assumptions!$B$15)</f>
        <v>0</v>
      </c>
      <c r="AE19" s="10" t="n">
        <f aca="false">MAX(0,AE9*5-Assumptions!$B$15)</f>
        <v>0</v>
      </c>
      <c r="AF19" s="10" t="n">
        <f aca="false">MAX(0,AF9*5-Assumptions!$B$15)</f>
        <v>0</v>
      </c>
      <c r="AG19" s="10" t="n">
        <f aca="false">MAX(0,AG9*5-Assumptions!$B$15)</f>
        <v>0</v>
      </c>
      <c r="AH19" s="10" t="n">
        <f aca="false">MAX(0,AH9*5-Assumptions!$B$15)</f>
        <v>0</v>
      </c>
      <c r="AI19" s="10" t="n">
        <f aca="false">MAX(0,AI9*5-Assumptions!$B$15)</f>
        <v>0</v>
      </c>
      <c r="AJ19" s="10" t="n">
        <f aca="false">MAX(0,AJ9*5-Assumptions!$B$15)</f>
        <v>0</v>
      </c>
      <c r="AK19" s="10" t="n">
        <f aca="false">MAX(0,AK9*5-Assumptions!$B$15)</f>
        <v>0</v>
      </c>
    </row>
    <row r="20" customFormat="false" ht="15" hidden="false" customHeight="true" outlineLevel="0" collapsed="false">
      <c r="A20" s="11" t="s">
        <v>110</v>
      </c>
      <c r="B20" s="21" t="n">
        <f aca="false">B18+B19</f>
        <v>27800</v>
      </c>
      <c r="C20" s="21" t="n">
        <f aca="false">C18+C19</f>
        <v>27800</v>
      </c>
      <c r="D20" s="21" t="n">
        <f aca="false">D18+D19</f>
        <v>27800</v>
      </c>
      <c r="E20" s="21" t="n">
        <f aca="false">E18+E19</f>
        <v>29190</v>
      </c>
      <c r="F20" s="21" t="n">
        <f aca="false">F18+F19</f>
        <v>29190</v>
      </c>
      <c r="G20" s="21" t="n">
        <f aca="false">G18+G19</f>
        <v>29190</v>
      </c>
      <c r="H20" s="21" t="n">
        <f aca="false">H18+H19</f>
        <v>30649.5</v>
      </c>
      <c r="I20" s="21" t="n">
        <f aca="false">I18+I19</f>
        <v>30649.5</v>
      </c>
      <c r="J20" s="21" t="n">
        <f aca="false">J18+J19</f>
        <v>30649.5</v>
      </c>
      <c r="K20" s="21" t="n">
        <f aca="false">K18+K19</f>
        <v>32181.975</v>
      </c>
      <c r="L20" s="21" t="n">
        <f aca="false">L18+L19</f>
        <v>32181.975</v>
      </c>
      <c r="M20" s="21" t="n">
        <f aca="false">M18+M19</f>
        <v>32181.975</v>
      </c>
      <c r="N20" s="21" t="n">
        <f aca="false">N18+N19</f>
        <v>33791.07375</v>
      </c>
      <c r="O20" s="21" t="n">
        <f aca="false">O18+O19</f>
        <v>33791.07375</v>
      </c>
      <c r="P20" s="21" t="n">
        <f aca="false">P18+P19</f>
        <v>33791.07375</v>
      </c>
      <c r="Q20" s="21" t="n">
        <f aca="false">Q18+Q19</f>
        <v>35480.6274375</v>
      </c>
      <c r="R20" s="21" t="n">
        <f aca="false">R18+R19</f>
        <v>35480.6274375</v>
      </c>
      <c r="S20" s="21" t="n">
        <f aca="false">S18+S19</f>
        <v>35480.6274375</v>
      </c>
      <c r="T20" s="21" t="n">
        <f aca="false">T18+T19</f>
        <v>37254.658809375</v>
      </c>
      <c r="U20" s="21" t="n">
        <f aca="false">U18+U19</f>
        <v>37254.658809375</v>
      </c>
      <c r="V20" s="21" t="n">
        <f aca="false">V18+V19</f>
        <v>37254.658809375</v>
      </c>
      <c r="W20" s="21" t="n">
        <f aca="false">W18+W19</f>
        <v>39117.3917498438</v>
      </c>
      <c r="X20" s="21" t="n">
        <f aca="false">X18+X19</f>
        <v>39117.3917498438</v>
      </c>
      <c r="Y20" s="21" t="n">
        <f aca="false">Y18+Y19</f>
        <v>39117.3917498438</v>
      </c>
      <c r="Z20" s="21" t="n">
        <f aca="false">Z18+Z19</f>
        <v>41073.261337336</v>
      </c>
      <c r="AA20" s="21" t="n">
        <f aca="false">AA18+AA19</f>
        <v>41073.261337336</v>
      </c>
      <c r="AB20" s="21" t="n">
        <f aca="false">AB18+AB19</f>
        <v>41073.261337336</v>
      </c>
      <c r="AC20" s="21" t="n">
        <f aca="false">AC18+AC19</f>
        <v>43126.9244042028</v>
      </c>
      <c r="AD20" s="21" t="n">
        <f aca="false">AD18+AD19</f>
        <v>43126.9244042028</v>
      </c>
      <c r="AE20" s="21" t="n">
        <f aca="false">AE18+AE19</f>
        <v>43126.9244042028</v>
      </c>
      <c r="AF20" s="21" t="n">
        <f aca="false">AF18+AF19</f>
        <v>45283.2706244129</v>
      </c>
      <c r="AG20" s="21" t="n">
        <f aca="false">AG18+AG19</f>
        <v>45283.2706244129</v>
      </c>
      <c r="AH20" s="21" t="n">
        <f aca="false">AH18+AH19</f>
        <v>45283.2706244129</v>
      </c>
      <c r="AI20" s="21" t="n">
        <f aca="false">AI18+AI19</f>
        <v>47547.4341556335</v>
      </c>
      <c r="AJ20" s="21" t="n">
        <f aca="false">AJ18+AJ19</f>
        <v>47547.4341556335</v>
      </c>
      <c r="AK20" s="21" t="n">
        <f aca="false">AK18+AK19</f>
        <v>47547.4341556335</v>
      </c>
    </row>
    <row r="22" customFormat="false" ht="15" hidden="false" customHeight="true" outlineLevel="0" collapsed="false">
      <c r="A22" s="5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customFormat="false" ht="15" hidden="false" customHeight="true" outlineLevel="0" collapsed="false">
      <c r="A23" s="6" t="s">
        <v>112</v>
      </c>
      <c r="B23" s="10" t="n">
        <f aca="false">B15-B20</f>
        <v>-27800</v>
      </c>
      <c r="C23" s="10" t="n">
        <f aca="false">C15-C20</f>
        <v>-27800</v>
      </c>
      <c r="D23" s="10" t="n">
        <f aca="false">D15-D20</f>
        <v>-27800</v>
      </c>
      <c r="E23" s="10" t="n">
        <f aca="false">E15-E20</f>
        <v>-29190</v>
      </c>
      <c r="F23" s="10" t="n">
        <f aca="false">F15-F20</f>
        <v>-29190</v>
      </c>
      <c r="G23" s="10" t="n">
        <f aca="false">G15-G20</f>
        <v>-29190</v>
      </c>
      <c r="H23" s="10" t="n">
        <f aca="false">H15-H20</f>
        <v>-30649.5</v>
      </c>
      <c r="I23" s="10" t="n">
        <f aca="false">I15-I20</f>
        <v>-30649.5</v>
      </c>
      <c r="J23" s="10" t="n">
        <f aca="false">J15-J20</f>
        <v>-30649.5</v>
      </c>
      <c r="K23" s="10" t="n">
        <f aca="false">K15-K20</f>
        <v>-32181.975</v>
      </c>
      <c r="L23" s="10" t="n">
        <f aca="false">L15-L20</f>
        <v>-32181.975</v>
      </c>
      <c r="M23" s="10" t="n">
        <f aca="false">M15-M20</f>
        <v>-32181.975</v>
      </c>
      <c r="N23" s="10" t="n">
        <f aca="false">N15-N20</f>
        <v>-33791.07375</v>
      </c>
      <c r="O23" s="10" t="n">
        <f aca="false">O15-O20</f>
        <v>-33791.07375</v>
      </c>
      <c r="P23" s="10" t="n">
        <f aca="false">P15-P20</f>
        <v>-33791.07375</v>
      </c>
      <c r="Q23" s="10" t="n">
        <f aca="false">Q15-Q20</f>
        <v>-35480.6274375</v>
      </c>
      <c r="R23" s="10" t="n">
        <f aca="false">R15-R20</f>
        <v>-35480.6274375</v>
      </c>
      <c r="S23" s="10" t="n">
        <f aca="false">S15-S20</f>
        <v>-35480.6274375</v>
      </c>
      <c r="T23" s="10" t="n">
        <f aca="false">T15-T20</f>
        <v>-37254.658809375</v>
      </c>
      <c r="U23" s="10" t="n">
        <f aca="false">U15-U20</f>
        <v>-37254.658809375</v>
      </c>
      <c r="V23" s="10" t="n">
        <f aca="false">V15-V20</f>
        <v>-37254.658809375</v>
      </c>
      <c r="W23" s="10" t="n">
        <f aca="false">W15-W20</f>
        <v>-39117.3917498438</v>
      </c>
      <c r="X23" s="10" t="n">
        <f aca="false">X15-X20</f>
        <v>-39117.3917498438</v>
      </c>
      <c r="Y23" s="10" t="n">
        <f aca="false">Y15-Y20</f>
        <v>-39117.3917498438</v>
      </c>
      <c r="Z23" s="10" t="n">
        <f aca="false">Z15-Z20</f>
        <v>-41073.261337336</v>
      </c>
      <c r="AA23" s="10" t="n">
        <f aca="false">AA15-AA20</f>
        <v>-41073.261337336</v>
      </c>
      <c r="AB23" s="10" t="n">
        <f aca="false">AB15-AB20</f>
        <v>-41073.261337336</v>
      </c>
      <c r="AC23" s="10" t="n">
        <f aca="false">AC15-AC20</f>
        <v>-43126.9244042028</v>
      </c>
      <c r="AD23" s="10" t="n">
        <f aca="false">AD15-AD20</f>
        <v>-43126.9244042028</v>
      </c>
      <c r="AE23" s="10" t="n">
        <f aca="false">AE15-AE20</f>
        <v>-43126.9244042028</v>
      </c>
      <c r="AF23" s="10" t="n">
        <f aca="false">AF15-AF20</f>
        <v>-45283.2706244129</v>
      </c>
      <c r="AG23" s="10" t="n">
        <f aca="false">AG15-AG20</f>
        <v>-45283.2706244129</v>
      </c>
      <c r="AH23" s="10" t="n">
        <f aca="false">AH15-AH20</f>
        <v>-45283.2706244129</v>
      </c>
      <c r="AI23" s="10" t="n">
        <f aca="false">AI15-AI20</f>
        <v>-47547.4341556335</v>
      </c>
      <c r="AJ23" s="10" t="n">
        <f aca="false">AJ15-AJ20</f>
        <v>-47547.4341556335</v>
      </c>
      <c r="AK23" s="10" t="n">
        <f aca="false">AK15-AK20</f>
        <v>-47547.4341556335</v>
      </c>
    </row>
    <row r="24" customFormat="false" ht="15" hidden="false" customHeight="true" outlineLevel="0" collapsed="false">
      <c r="A24" s="11" t="s">
        <v>113</v>
      </c>
      <c r="B24" s="12" t="n">
        <f aca="false">Assumptions!$B$11+B23</f>
        <v>775240</v>
      </c>
      <c r="C24" s="12" t="n">
        <f aca="false">B24+C23</f>
        <v>747440</v>
      </c>
      <c r="D24" s="12" t="n">
        <f aca="false">C24+D23</f>
        <v>719640</v>
      </c>
      <c r="E24" s="12" t="n">
        <f aca="false">D24+E23</f>
        <v>690450</v>
      </c>
      <c r="F24" s="12" t="n">
        <f aca="false">E24+F23</f>
        <v>661260</v>
      </c>
      <c r="G24" s="12" t="n">
        <f aca="false">F24+G23</f>
        <v>632070</v>
      </c>
      <c r="H24" s="12" t="n">
        <f aca="false">G24+H23</f>
        <v>601420.5</v>
      </c>
      <c r="I24" s="12" t="n">
        <f aca="false">H24+I23</f>
        <v>570771</v>
      </c>
      <c r="J24" s="12" t="n">
        <f aca="false">I24+J23</f>
        <v>540121.5</v>
      </c>
      <c r="K24" s="12" t="n">
        <f aca="false">J24+K23</f>
        <v>507939.525</v>
      </c>
      <c r="L24" s="12" t="n">
        <f aca="false">K24+L23</f>
        <v>475757.55</v>
      </c>
      <c r="M24" s="12" t="n">
        <f aca="false">L24+M23</f>
        <v>443575.575</v>
      </c>
      <c r="N24" s="12" t="n">
        <f aca="false">M24+N23</f>
        <v>409784.50125</v>
      </c>
      <c r="O24" s="12" t="n">
        <f aca="false">N24+O23</f>
        <v>375993.4275</v>
      </c>
      <c r="P24" s="12" t="n">
        <f aca="false">O24+P23</f>
        <v>342202.35375</v>
      </c>
      <c r="Q24" s="12" t="n">
        <f aca="false">P24+Q23</f>
        <v>306721.7263125</v>
      </c>
      <c r="R24" s="12" t="n">
        <f aca="false">Q24+R23</f>
        <v>271241.098875</v>
      </c>
      <c r="S24" s="12" t="n">
        <f aca="false">R24+S23</f>
        <v>235760.4714375</v>
      </c>
      <c r="T24" s="12" t="n">
        <f aca="false">S24+T23</f>
        <v>198505.812628125</v>
      </c>
      <c r="U24" s="12" t="n">
        <f aca="false">T24+U23</f>
        <v>161251.15381875</v>
      </c>
      <c r="V24" s="12" t="n">
        <f aca="false">U24+V23</f>
        <v>123996.495009375</v>
      </c>
      <c r="W24" s="12" t="n">
        <f aca="false">V24+W23</f>
        <v>84879.1032595313</v>
      </c>
      <c r="X24" s="12" t="n">
        <f aca="false">W24+X23</f>
        <v>45761.7115096876</v>
      </c>
      <c r="Y24" s="12" t="n">
        <f aca="false">X24+Y23</f>
        <v>6644.3197598438</v>
      </c>
      <c r="Z24" s="12" t="n">
        <f aca="false">Y24+Z23</f>
        <v>-34428.9415774922</v>
      </c>
      <c r="AA24" s="12" t="n">
        <f aca="false">Z24+AA23</f>
        <v>-75502.2029148281</v>
      </c>
      <c r="AB24" s="12" t="n">
        <f aca="false">AA24+AB23</f>
        <v>-116575.464252164</v>
      </c>
      <c r="AC24" s="12" t="n">
        <f aca="false">AB24+AC23</f>
        <v>-159702.388656367</v>
      </c>
      <c r="AD24" s="12" t="n">
        <f aca="false">AC24+AD23</f>
        <v>-202829.31306057</v>
      </c>
      <c r="AE24" s="12" t="n">
        <f aca="false">AD24+AE23</f>
        <v>-245956.237464772</v>
      </c>
      <c r="AF24" s="12" t="n">
        <f aca="false">AE24+AF23</f>
        <v>-291239.508089185</v>
      </c>
      <c r="AG24" s="12" t="n">
        <f aca="false">AF24+AG23</f>
        <v>-336522.778713598</v>
      </c>
      <c r="AH24" s="12" t="n">
        <f aca="false">AG24+AH23</f>
        <v>-381806.049338011</v>
      </c>
      <c r="AI24" s="12" t="n">
        <f aca="false">AH24+AI23</f>
        <v>-429353.483493644</v>
      </c>
      <c r="AJ24" s="12" t="n">
        <f aca="false">AI24+AJ23</f>
        <v>-476900.917649278</v>
      </c>
      <c r="AK24" s="12" t="n">
        <f aca="false">AJ24+AK23</f>
        <v>-524448.351804912</v>
      </c>
    </row>
    <row r="25" customFormat="false" ht="15" hidden="false" customHeight="true" outlineLevel="0" collapsed="false">
      <c r="A25" s="6" t="s">
        <v>114</v>
      </c>
      <c r="B25" s="6" t="str">
        <f aca="false">IF(B23&gt;0,"YES","NO")</f>
        <v>NO</v>
      </c>
      <c r="C25" s="6" t="str">
        <f aca="false">IF(C23&gt;0,"YES","NO")</f>
        <v>NO</v>
      </c>
      <c r="D25" s="6" t="str">
        <f aca="false">IF(D23&gt;0,"YES","NO")</f>
        <v>NO</v>
      </c>
      <c r="E25" s="6" t="str">
        <f aca="false">IF(E23&gt;0,"YES","NO")</f>
        <v>NO</v>
      </c>
      <c r="F25" s="6" t="str">
        <f aca="false">IF(F23&gt;0,"YES","NO")</f>
        <v>NO</v>
      </c>
      <c r="G25" s="6" t="str">
        <f aca="false">IF(G23&gt;0,"YES","NO")</f>
        <v>NO</v>
      </c>
      <c r="H25" s="6" t="str">
        <f aca="false">IF(H23&gt;0,"YES","NO")</f>
        <v>NO</v>
      </c>
      <c r="I25" s="6" t="str">
        <f aca="false">IF(I23&gt;0,"YES","NO")</f>
        <v>NO</v>
      </c>
      <c r="J25" s="6" t="str">
        <f aca="false">IF(J23&gt;0,"YES","NO")</f>
        <v>NO</v>
      </c>
      <c r="K25" s="6" t="str">
        <f aca="false">IF(K23&gt;0,"YES","NO")</f>
        <v>NO</v>
      </c>
      <c r="L25" s="6" t="str">
        <f aca="false">IF(L23&gt;0,"YES","NO")</f>
        <v>NO</v>
      </c>
      <c r="M25" s="6" t="str">
        <f aca="false">IF(M23&gt;0,"YES","NO")</f>
        <v>NO</v>
      </c>
      <c r="N25" s="6" t="str">
        <f aca="false">IF(N23&gt;0,"YES","NO")</f>
        <v>NO</v>
      </c>
      <c r="O25" s="6" t="str">
        <f aca="false">IF(O23&gt;0,"YES","NO")</f>
        <v>NO</v>
      </c>
      <c r="P25" s="6" t="str">
        <f aca="false">IF(P23&gt;0,"YES","NO")</f>
        <v>NO</v>
      </c>
      <c r="Q25" s="6" t="str">
        <f aca="false">IF(Q23&gt;0,"YES","NO")</f>
        <v>NO</v>
      </c>
      <c r="R25" s="6" t="str">
        <f aca="false">IF(R23&gt;0,"YES","NO")</f>
        <v>NO</v>
      </c>
      <c r="S25" s="6" t="str">
        <f aca="false">IF(S23&gt;0,"YES","NO")</f>
        <v>NO</v>
      </c>
      <c r="T25" s="6" t="str">
        <f aca="false">IF(T23&gt;0,"YES","NO")</f>
        <v>NO</v>
      </c>
      <c r="U25" s="6" t="str">
        <f aca="false">IF(U23&gt;0,"YES","NO")</f>
        <v>NO</v>
      </c>
      <c r="V25" s="6" t="str">
        <f aca="false">IF(V23&gt;0,"YES","NO")</f>
        <v>NO</v>
      </c>
      <c r="W25" s="6" t="str">
        <f aca="false">IF(W23&gt;0,"YES","NO")</f>
        <v>NO</v>
      </c>
      <c r="X25" s="6" t="str">
        <f aca="false">IF(X23&gt;0,"YES","NO")</f>
        <v>NO</v>
      </c>
      <c r="Y25" s="6" t="str">
        <f aca="false">IF(Y23&gt;0,"YES","NO")</f>
        <v>NO</v>
      </c>
      <c r="Z25" s="6" t="str">
        <f aca="false">IF(Z23&gt;0,"YES","NO")</f>
        <v>NO</v>
      </c>
      <c r="AA25" s="6" t="str">
        <f aca="false">IF(AA23&gt;0,"YES","NO")</f>
        <v>NO</v>
      </c>
      <c r="AB25" s="6" t="str">
        <f aca="false">IF(AB23&gt;0,"YES","NO")</f>
        <v>NO</v>
      </c>
      <c r="AC25" s="6" t="str">
        <f aca="false">IF(AC23&gt;0,"YES","NO")</f>
        <v>NO</v>
      </c>
      <c r="AD25" s="6" t="str">
        <f aca="false">IF(AD23&gt;0,"YES","NO")</f>
        <v>NO</v>
      </c>
      <c r="AE25" s="6" t="str">
        <f aca="false">IF(AE23&gt;0,"YES","NO")</f>
        <v>NO</v>
      </c>
      <c r="AF25" s="6" t="str">
        <f aca="false">IF(AF23&gt;0,"YES","NO")</f>
        <v>NO</v>
      </c>
      <c r="AG25" s="6" t="str">
        <f aca="false">IF(AG23&gt;0,"YES","NO")</f>
        <v>NO</v>
      </c>
      <c r="AH25" s="6" t="str">
        <f aca="false">IF(AH23&gt;0,"YES","NO")</f>
        <v>NO</v>
      </c>
      <c r="AI25" s="6" t="str">
        <f aca="false">IF(AI23&gt;0,"YES","NO")</f>
        <v>NO</v>
      </c>
      <c r="AJ25" s="6" t="str">
        <f aca="false">IF(AJ23&gt;0,"YES","NO")</f>
        <v>NO</v>
      </c>
      <c r="AK25" s="6" t="str">
        <f aca="false">IF(AK23&gt;0,"YES","NO")</f>
        <v>NO</v>
      </c>
    </row>
    <row r="27" customFormat="false" ht="15" hidden="false" customHeight="true" outlineLevel="0" collapsed="false">
      <c r="A27" s="5" t="s">
        <v>115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customFormat="false" ht="15" hidden="false" customHeight="true" outlineLevel="0" collapsed="false">
      <c r="A28" s="6" t="s">
        <v>116</v>
      </c>
      <c r="B28" s="10" t="n">
        <f aca="false">B12</f>
        <v>0</v>
      </c>
      <c r="C28" s="10" t="n">
        <f aca="false">C12</f>
        <v>0</v>
      </c>
      <c r="D28" s="10" t="n">
        <f aca="false">D12</f>
        <v>0</v>
      </c>
      <c r="E28" s="10" t="n">
        <f aca="false">E12</f>
        <v>0</v>
      </c>
      <c r="F28" s="10" t="n">
        <f aca="false">F12</f>
        <v>0</v>
      </c>
      <c r="G28" s="10" t="n">
        <f aca="false">G12</f>
        <v>0</v>
      </c>
      <c r="H28" s="10" t="n">
        <f aca="false">H12</f>
        <v>0</v>
      </c>
      <c r="I28" s="10" t="n">
        <f aca="false">I12</f>
        <v>0</v>
      </c>
      <c r="J28" s="10" t="n">
        <f aca="false">J12</f>
        <v>0</v>
      </c>
      <c r="K28" s="10" t="n">
        <f aca="false">K12</f>
        <v>0</v>
      </c>
      <c r="L28" s="10" t="n">
        <f aca="false">L12</f>
        <v>0</v>
      </c>
      <c r="M28" s="10" t="n">
        <f aca="false">M12</f>
        <v>0</v>
      </c>
      <c r="N28" s="10" t="n">
        <f aca="false">N12</f>
        <v>0</v>
      </c>
      <c r="O28" s="10" t="n">
        <f aca="false">O12</f>
        <v>0</v>
      </c>
      <c r="P28" s="10" t="n">
        <f aca="false">P12</f>
        <v>0</v>
      </c>
      <c r="Q28" s="10" t="n">
        <f aca="false">Q12</f>
        <v>0</v>
      </c>
      <c r="R28" s="10" t="n">
        <f aca="false">R12</f>
        <v>0</v>
      </c>
      <c r="S28" s="10" t="n">
        <f aca="false">S12</f>
        <v>0</v>
      </c>
      <c r="T28" s="10" t="n">
        <f aca="false">T12</f>
        <v>0</v>
      </c>
      <c r="U28" s="10" t="n">
        <f aca="false">U12</f>
        <v>0</v>
      </c>
      <c r="V28" s="10" t="n">
        <f aca="false">V12</f>
        <v>0</v>
      </c>
      <c r="W28" s="10" t="n">
        <f aca="false">W12</f>
        <v>0</v>
      </c>
      <c r="X28" s="10" t="n">
        <f aca="false">X12</f>
        <v>0</v>
      </c>
      <c r="Y28" s="10" t="n">
        <f aca="false">Y12</f>
        <v>0</v>
      </c>
      <c r="Z28" s="10" t="n">
        <f aca="false">Z12</f>
        <v>0</v>
      </c>
      <c r="AA28" s="10" t="n">
        <f aca="false">AA12</f>
        <v>0</v>
      </c>
      <c r="AB28" s="10" t="n">
        <f aca="false">AB12</f>
        <v>0</v>
      </c>
      <c r="AC28" s="10" t="n">
        <f aca="false">AC12</f>
        <v>0</v>
      </c>
      <c r="AD28" s="10" t="n">
        <f aca="false">AD12</f>
        <v>0</v>
      </c>
      <c r="AE28" s="10" t="n">
        <f aca="false">AE12</f>
        <v>0</v>
      </c>
      <c r="AF28" s="10" t="n">
        <f aca="false">AF12</f>
        <v>0</v>
      </c>
      <c r="AG28" s="10" t="n">
        <f aca="false">AG12</f>
        <v>0</v>
      </c>
      <c r="AH28" s="10" t="n">
        <f aca="false">AH12</f>
        <v>0</v>
      </c>
      <c r="AI28" s="10" t="n">
        <f aca="false">AI12</f>
        <v>0</v>
      </c>
      <c r="AJ28" s="10" t="n">
        <f aca="false">AJ12</f>
        <v>0</v>
      </c>
      <c r="AK28" s="10" t="n">
        <f aca="false">AK12</f>
        <v>0</v>
      </c>
    </row>
    <row r="29" customFormat="false" ht="15" hidden="false" customHeight="true" outlineLevel="0" collapsed="false">
      <c r="A29" s="11" t="s">
        <v>117</v>
      </c>
      <c r="B29" s="12" t="n">
        <f aca="false">B15*12</f>
        <v>0</v>
      </c>
      <c r="C29" s="12" t="n">
        <f aca="false">C15*12</f>
        <v>0</v>
      </c>
      <c r="D29" s="12" t="n">
        <f aca="false">D15*12</f>
        <v>0</v>
      </c>
      <c r="E29" s="12" t="n">
        <f aca="false">E15*12</f>
        <v>0</v>
      </c>
      <c r="F29" s="12" t="n">
        <f aca="false">F15*12</f>
        <v>0</v>
      </c>
      <c r="G29" s="12" t="n">
        <f aca="false">G15*12</f>
        <v>0</v>
      </c>
      <c r="H29" s="12" t="n">
        <f aca="false">H15*12</f>
        <v>0</v>
      </c>
      <c r="I29" s="12" t="n">
        <f aca="false">I15*12</f>
        <v>0</v>
      </c>
      <c r="J29" s="12" t="n">
        <f aca="false">J15*12</f>
        <v>0</v>
      </c>
      <c r="K29" s="12" t="n">
        <f aca="false">K15*12</f>
        <v>0</v>
      </c>
      <c r="L29" s="12" t="n">
        <f aca="false">L15*12</f>
        <v>0</v>
      </c>
      <c r="M29" s="12" t="n">
        <f aca="false">M15*12</f>
        <v>0</v>
      </c>
      <c r="N29" s="12" t="n">
        <f aca="false">N15*12</f>
        <v>0</v>
      </c>
      <c r="O29" s="12" t="n">
        <f aca="false">O15*12</f>
        <v>0</v>
      </c>
      <c r="P29" s="12" t="n">
        <f aca="false">P15*12</f>
        <v>0</v>
      </c>
      <c r="Q29" s="12" t="n">
        <f aca="false">Q15*12</f>
        <v>0</v>
      </c>
      <c r="R29" s="12" t="n">
        <f aca="false">R15*12</f>
        <v>0</v>
      </c>
      <c r="S29" s="12" t="n">
        <f aca="false">S15*12</f>
        <v>0</v>
      </c>
      <c r="T29" s="12" t="n">
        <f aca="false">T15*12</f>
        <v>0</v>
      </c>
      <c r="U29" s="12" t="n">
        <f aca="false">U15*12</f>
        <v>0</v>
      </c>
      <c r="V29" s="12" t="n">
        <f aca="false">V15*12</f>
        <v>0</v>
      </c>
      <c r="W29" s="12" t="n">
        <f aca="false">W15*12</f>
        <v>0</v>
      </c>
      <c r="X29" s="12" t="n">
        <f aca="false">X15*12</f>
        <v>0</v>
      </c>
      <c r="Y29" s="12" t="n">
        <f aca="false">Y15*12</f>
        <v>0</v>
      </c>
      <c r="Z29" s="12" t="n">
        <f aca="false">Z15*12</f>
        <v>0</v>
      </c>
      <c r="AA29" s="12" t="n">
        <f aca="false">AA15*12</f>
        <v>0</v>
      </c>
      <c r="AB29" s="12" t="n">
        <f aca="false">AB15*12</f>
        <v>0</v>
      </c>
      <c r="AC29" s="12" t="n">
        <f aca="false">AC15*12</f>
        <v>0</v>
      </c>
      <c r="AD29" s="12" t="n">
        <f aca="false">AD15*12</f>
        <v>0</v>
      </c>
      <c r="AE29" s="12" t="n">
        <f aca="false">AE15*12</f>
        <v>0</v>
      </c>
      <c r="AF29" s="12" t="n">
        <f aca="false">AF15*12</f>
        <v>0</v>
      </c>
      <c r="AG29" s="12" t="n">
        <f aca="false">AG15*12</f>
        <v>0</v>
      </c>
      <c r="AH29" s="12" t="n">
        <f aca="false">AH15*12</f>
        <v>0</v>
      </c>
      <c r="AI29" s="12" t="n">
        <f aca="false">AI15*12</f>
        <v>0</v>
      </c>
      <c r="AJ29" s="12" t="n">
        <f aca="false">AJ15*12</f>
        <v>0</v>
      </c>
      <c r="AK29" s="12" t="n">
        <f aca="false">AK15*12</f>
        <v>0</v>
      </c>
    </row>
    <row r="30" customFormat="false" ht="15" hidden="false" customHeight="true" outlineLevel="0" collapsed="false">
      <c r="A30" s="6" t="s">
        <v>118</v>
      </c>
      <c r="B30" s="6" t="str">
        <f aca="false">IF(B15=0,"-",B20/B15)</f>
        <v>-</v>
      </c>
      <c r="C30" s="6" t="str">
        <f aca="false">IF(C15=0,"-",C20/C15)</f>
        <v>-</v>
      </c>
      <c r="D30" s="6" t="str">
        <f aca="false">IF(D15=0,"-",D20/D15)</f>
        <v>-</v>
      </c>
      <c r="E30" s="6" t="str">
        <f aca="false">IF(E15=0,"-",E20/E15)</f>
        <v>-</v>
      </c>
      <c r="F30" s="6" t="str">
        <f aca="false">IF(F15=0,"-",F20/F15)</f>
        <v>-</v>
      </c>
      <c r="G30" s="6" t="str">
        <f aca="false">IF(G15=0,"-",G20/G15)</f>
        <v>-</v>
      </c>
      <c r="H30" s="6" t="str">
        <f aca="false">IF(H15=0,"-",H20/H15)</f>
        <v>-</v>
      </c>
      <c r="I30" s="6" t="str">
        <f aca="false">IF(I15=0,"-",I20/I15)</f>
        <v>-</v>
      </c>
      <c r="J30" s="6" t="str">
        <f aca="false">IF(J15=0,"-",J20/J15)</f>
        <v>-</v>
      </c>
      <c r="K30" s="6" t="str">
        <f aca="false">IF(K15=0,"-",K20/K15)</f>
        <v>-</v>
      </c>
      <c r="L30" s="6" t="str">
        <f aca="false">IF(L15=0,"-",L20/L15)</f>
        <v>-</v>
      </c>
      <c r="M30" s="6" t="str">
        <f aca="false">IF(M15=0,"-",M20/M15)</f>
        <v>-</v>
      </c>
      <c r="N30" s="6" t="str">
        <f aca="false">IF(N15=0,"-",N20/N15)</f>
        <v>-</v>
      </c>
      <c r="O30" s="6" t="str">
        <f aca="false">IF(O15=0,"-",O20/O15)</f>
        <v>-</v>
      </c>
      <c r="P30" s="6" t="str">
        <f aca="false">IF(P15=0,"-",P20/P15)</f>
        <v>-</v>
      </c>
      <c r="Q30" s="6" t="str">
        <f aca="false">IF(Q15=0,"-",Q20/Q15)</f>
        <v>-</v>
      </c>
      <c r="R30" s="6" t="str">
        <f aca="false">IF(R15=0,"-",R20/R15)</f>
        <v>-</v>
      </c>
      <c r="S30" s="6" t="str">
        <f aca="false">IF(S15=0,"-",S20/S15)</f>
        <v>-</v>
      </c>
      <c r="T30" s="6" t="str">
        <f aca="false">IF(T15=0,"-",T20/T15)</f>
        <v>-</v>
      </c>
      <c r="U30" s="6" t="str">
        <f aca="false">IF(U15=0,"-",U20/U15)</f>
        <v>-</v>
      </c>
      <c r="V30" s="6" t="str">
        <f aca="false">IF(V15=0,"-",V20/V15)</f>
        <v>-</v>
      </c>
      <c r="W30" s="6" t="str">
        <f aca="false">IF(W15=0,"-",W20/W15)</f>
        <v>-</v>
      </c>
      <c r="X30" s="6" t="str">
        <f aca="false">IF(X15=0,"-",X20/X15)</f>
        <v>-</v>
      </c>
      <c r="Y30" s="6" t="str">
        <f aca="false">IF(Y15=0,"-",Y20/Y15)</f>
        <v>-</v>
      </c>
      <c r="Z30" s="6" t="str">
        <f aca="false">IF(Z15=0,"-",Z20/Z15)</f>
        <v>-</v>
      </c>
      <c r="AA30" s="6" t="str">
        <f aca="false">IF(AA15=0,"-",AA20/AA15)</f>
        <v>-</v>
      </c>
      <c r="AB30" s="6" t="str">
        <f aca="false">IF(AB15=0,"-",AB20/AB15)</f>
        <v>-</v>
      </c>
      <c r="AC30" s="6" t="str">
        <f aca="false">IF(AC15=0,"-",AC20/AC15)</f>
        <v>-</v>
      </c>
      <c r="AD30" s="6" t="str">
        <f aca="false">IF(AD15=0,"-",AD20/AD15)</f>
        <v>-</v>
      </c>
      <c r="AE30" s="6" t="str">
        <f aca="false">IF(AE15=0,"-",AE20/AE15)</f>
        <v>-</v>
      </c>
      <c r="AF30" s="6" t="str">
        <f aca="false">IF(AF15=0,"-",AF20/AF15)</f>
        <v>-</v>
      </c>
      <c r="AG30" s="6" t="str">
        <f aca="false">IF(AG15=0,"-",AG20/AG15)</f>
        <v>-</v>
      </c>
      <c r="AH30" s="6" t="str">
        <f aca="false">IF(AH15=0,"-",AH20/AH15)</f>
        <v>-</v>
      </c>
      <c r="AI30" s="6" t="str">
        <f aca="false">IF(AI15=0,"-",AI20/AI15)</f>
        <v>-</v>
      </c>
      <c r="AJ30" s="6" t="str">
        <f aca="false">IF(AJ15=0,"-",AJ20/AJ15)</f>
        <v>-</v>
      </c>
      <c r="AK30" s="6" t="str">
        <f aca="false">IF(AK15=0,"-",AK20/AK15)</f>
        <v>-</v>
      </c>
    </row>
    <row r="31" customFormat="false" ht="15" hidden="false" customHeight="true" outlineLevel="0" collapsed="false">
      <c r="A31" s="6" t="s">
        <v>119</v>
      </c>
      <c r="B31" s="10" t="n">
        <f aca="false">IF(B23&gt;=0,"∞",B24/(-B23))</f>
        <v>27.8863309352518</v>
      </c>
      <c r="C31" s="10" t="n">
        <f aca="false">IF(C23&gt;=0,"∞",C24/(-C23))</f>
        <v>26.8863309352518</v>
      </c>
      <c r="D31" s="10" t="n">
        <f aca="false">IF(D23&gt;=0,"∞",D24/(-D23))</f>
        <v>25.8863309352518</v>
      </c>
      <c r="E31" s="10" t="n">
        <f aca="false">IF(E23&gt;=0,"∞",E24/(-E23))</f>
        <v>23.6536485097636</v>
      </c>
      <c r="F31" s="10" t="n">
        <f aca="false">IF(F23&gt;=0,"∞",F24/(-F23))</f>
        <v>22.6536485097636</v>
      </c>
      <c r="G31" s="10" t="n">
        <f aca="false">IF(G23&gt;=0,"∞",G24/(-G23))</f>
        <v>21.6536485097636</v>
      </c>
      <c r="H31" s="10" t="n">
        <f aca="false">IF(H23&gt;=0,"∞",H24/(-H23))</f>
        <v>19.6225223902511</v>
      </c>
      <c r="I31" s="10" t="n">
        <f aca="false">IF(I23&gt;=0,"∞",I24/(-I23))</f>
        <v>18.6225223902511</v>
      </c>
      <c r="J31" s="10" t="n">
        <f aca="false">IF(J23&gt;=0,"∞",J24/(-J23))</f>
        <v>17.6225223902511</v>
      </c>
      <c r="K31" s="10" t="n">
        <f aca="false">IF(K23&gt;=0,"∞",K24/(-K23))</f>
        <v>15.783354657382</v>
      </c>
      <c r="L31" s="10" t="n">
        <f aca="false">IF(L23&gt;=0,"∞",L24/(-L23))</f>
        <v>14.783354657382</v>
      </c>
      <c r="M31" s="10" t="n">
        <f aca="false">IF(M23&gt;=0,"∞",M24/(-M23))</f>
        <v>13.783354657382</v>
      </c>
      <c r="N31" s="10" t="n">
        <f aca="false">IF(N23&gt;=0,"∞",N24/(-N23))</f>
        <v>12.1270044356019</v>
      </c>
      <c r="O31" s="10" t="n">
        <f aca="false">IF(O23&gt;=0,"∞",O24/(-O23))</f>
        <v>11.1270044356019</v>
      </c>
      <c r="P31" s="10" t="n">
        <f aca="false">IF(P23&gt;=0,"∞",P24/(-P23))</f>
        <v>10.1270044356019</v>
      </c>
      <c r="Q31" s="10" t="n">
        <f aca="false">IF(Q23&gt;=0,"∞",Q24/(-Q23))</f>
        <v>8.64476612914464</v>
      </c>
      <c r="R31" s="10" t="n">
        <f aca="false">IF(R23&gt;=0,"∞",R24/(-R23))</f>
        <v>7.64476612914464</v>
      </c>
      <c r="S31" s="10" t="n">
        <f aca="false">IF(S23&gt;=0,"∞",S24/(-S23))</f>
        <v>6.64476612914464</v>
      </c>
      <c r="T31" s="10" t="n">
        <f aca="false">IF(T23&gt;=0,"∞",T24/(-T23))</f>
        <v>5.32834869442347</v>
      </c>
      <c r="U31" s="10" t="n">
        <f aca="false">IF(U23&gt;=0,"∞",U24/(-U23))</f>
        <v>4.32834869442347</v>
      </c>
      <c r="V31" s="10" t="n">
        <f aca="false">IF(V23&gt;=0,"∞",V24/(-V23))</f>
        <v>3.32834869442347</v>
      </c>
      <c r="W31" s="10" t="n">
        <f aca="false">IF(W23&gt;=0,"∞",W24/(-W23))</f>
        <v>2.16985589945092</v>
      </c>
      <c r="X31" s="10" t="n">
        <f aca="false">IF(X23&gt;=0,"∞",X24/(-X23))</f>
        <v>1.16985589945092</v>
      </c>
      <c r="Y31" s="10" t="n">
        <f aca="false">IF(Y23&gt;=0,"∞",Y24/(-Y23))</f>
        <v>0.169855899450922</v>
      </c>
      <c r="Z31" s="10" t="n">
        <f aca="false">IF(Z23&gt;=0,"∞",Z24/(-Z23))</f>
        <v>-0.838232476713407</v>
      </c>
      <c r="AA31" s="10" t="n">
        <f aca="false">IF(AA23&gt;=0,"∞",AA24/(-AA23))</f>
        <v>-1.83823247671341</v>
      </c>
      <c r="AB31" s="10" t="n">
        <f aca="false">IF(AB23&gt;=0,"∞",AB24/(-AB23))</f>
        <v>-2.83823247671341</v>
      </c>
      <c r="AC31" s="10" t="n">
        <f aca="false">IF(AC23&gt;=0,"∞",AC24/(-AC23))</f>
        <v>-3.70307854925086</v>
      </c>
      <c r="AD31" s="10" t="n">
        <f aca="false">IF(AD23&gt;=0,"∞",AD24/(-AD23))</f>
        <v>-4.70307854925086</v>
      </c>
      <c r="AE31" s="10" t="n">
        <f aca="false">IF(AE23&gt;=0,"∞",AE24/(-AE23))</f>
        <v>-5.70307854925086</v>
      </c>
      <c r="AF31" s="10" t="n">
        <f aca="false">IF(AF23&gt;=0,"∞",AF24/(-AF23))</f>
        <v>-6.43150338023892</v>
      </c>
      <c r="AG31" s="10" t="n">
        <f aca="false">IF(AG23&gt;=0,"∞",AG24/(-AG23))</f>
        <v>-7.43150338023892</v>
      </c>
      <c r="AH31" s="10" t="n">
        <f aca="false">IF(AH23&gt;=0,"∞",AH24/(-AH23))</f>
        <v>-8.43150338023892</v>
      </c>
      <c r="AI31" s="10" t="n">
        <f aca="false">IF(AI23&gt;=0,"∞",AI24/(-AI23))</f>
        <v>-9.03000321927516</v>
      </c>
      <c r="AJ31" s="10" t="n">
        <f aca="false">IF(AJ23&gt;=0,"∞",AJ24/(-AJ23))</f>
        <v>-10.0300032192752</v>
      </c>
      <c r="AK31" s="10" t="n">
        <f aca="false">IF(AK23&gt;=0,"∞",AK24/(-AK23))</f>
        <v>-11.0300032192752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5F2D"/>
    <pageSetUpPr fitToPage="false"/>
  </sheetPr>
  <dimension ref="A1:A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7" min="2" style="1" width="12"/>
  </cols>
  <sheetData>
    <row r="1" customFormat="false" ht="17.25" hidden="false" customHeight="true" outlineLevel="0" collapsed="false">
      <c r="A1" s="16" t="s">
        <v>120</v>
      </c>
    </row>
    <row r="2" customFormat="false" ht="15" hidden="false" customHeight="true" outlineLevel="0" collapsed="false">
      <c r="A2" s="8" t="s">
        <v>60</v>
      </c>
    </row>
    <row r="4" customFormat="false" ht="15" hidden="false" customHeight="true" outlineLevel="0" collapsed="false">
      <c r="A4" s="17"/>
      <c r="B4" s="18" t="s">
        <v>61</v>
      </c>
      <c r="C4" s="18" t="s">
        <v>62</v>
      </c>
      <c r="D4" s="18" t="s">
        <v>63</v>
      </c>
      <c r="E4" s="18" t="s">
        <v>64</v>
      </c>
      <c r="F4" s="18" t="s">
        <v>65</v>
      </c>
      <c r="G4" s="18" t="s">
        <v>66</v>
      </c>
      <c r="H4" s="18" t="s">
        <v>67</v>
      </c>
      <c r="I4" s="18" t="s">
        <v>68</v>
      </c>
      <c r="J4" s="18" t="s">
        <v>69</v>
      </c>
      <c r="K4" s="18" t="s">
        <v>70</v>
      </c>
      <c r="L4" s="18" t="s">
        <v>71</v>
      </c>
      <c r="M4" s="18" t="s">
        <v>72</v>
      </c>
      <c r="N4" s="18" t="s">
        <v>73</v>
      </c>
      <c r="O4" s="18" t="s">
        <v>74</v>
      </c>
      <c r="P4" s="18" t="s">
        <v>75</v>
      </c>
      <c r="Q4" s="18" t="s">
        <v>76</v>
      </c>
      <c r="R4" s="18" t="s">
        <v>77</v>
      </c>
      <c r="S4" s="18" t="s">
        <v>78</v>
      </c>
      <c r="T4" s="18" t="s">
        <v>79</v>
      </c>
      <c r="U4" s="18" t="s">
        <v>80</v>
      </c>
      <c r="V4" s="18" t="s">
        <v>81</v>
      </c>
      <c r="W4" s="18" t="s">
        <v>82</v>
      </c>
      <c r="X4" s="18" t="s">
        <v>83</v>
      </c>
      <c r="Y4" s="18" t="s">
        <v>84</v>
      </c>
      <c r="Z4" s="18" t="s">
        <v>85</v>
      </c>
      <c r="AA4" s="18" t="s">
        <v>86</v>
      </c>
      <c r="AB4" s="18" t="s">
        <v>87</v>
      </c>
      <c r="AC4" s="18" t="s">
        <v>88</v>
      </c>
      <c r="AD4" s="18" t="s">
        <v>89</v>
      </c>
      <c r="AE4" s="18" t="s">
        <v>90</v>
      </c>
      <c r="AF4" s="18" t="s">
        <v>91</v>
      </c>
      <c r="AG4" s="18" t="s">
        <v>92</v>
      </c>
      <c r="AH4" s="18" t="s">
        <v>93</v>
      </c>
      <c r="AI4" s="18" t="s">
        <v>94</v>
      </c>
      <c r="AJ4" s="18" t="s">
        <v>95</v>
      </c>
      <c r="AK4" s="18" t="s">
        <v>96</v>
      </c>
    </row>
    <row r="5" customFormat="false" ht="15" hidden="false" customHeight="true" outlineLevel="0" collapsed="false">
      <c r="A5" s="5" t="s">
        <v>97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customFormat="false" ht="15" hidden="false" customHeight="true" outlineLevel="0" collapsed="false">
      <c r="A6" s="6" t="s">
        <v>98</v>
      </c>
      <c r="B6" s="19" t="n">
        <v>5</v>
      </c>
      <c r="C6" s="19" t="n">
        <v>5</v>
      </c>
      <c r="D6" s="19" t="n">
        <v>5</v>
      </c>
      <c r="E6" s="19" t="n">
        <v>10</v>
      </c>
      <c r="F6" s="19" t="n">
        <v>10</v>
      </c>
      <c r="G6" s="19" t="n">
        <v>10</v>
      </c>
      <c r="H6" s="19" t="n">
        <v>20</v>
      </c>
      <c r="I6" s="19" t="n">
        <v>20</v>
      </c>
      <c r="J6" s="19" t="n">
        <v>20</v>
      </c>
      <c r="K6" s="19" t="n">
        <v>35</v>
      </c>
      <c r="L6" s="19" t="n">
        <v>35</v>
      </c>
      <c r="M6" s="19" t="n">
        <v>35</v>
      </c>
      <c r="N6" s="19" t="n">
        <v>50</v>
      </c>
      <c r="O6" s="19" t="n">
        <v>50</v>
      </c>
      <c r="P6" s="19" t="n">
        <v>50</v>
      </c>
      <c r="Q6" s="19" t="n">
        <v>50</v>
      </c>
      <c r="R6" s="19" t="n">
        <v>50</v>
      </c>
      <c r="S6" s="19" t="n">
        <v>50</v>
      </c>
      <c r="T6" s="19" t="n">
        <v>75</v>
      </c>
      <c r="U6" s="19" t="n">
        <v>75</v>
      </c>
      <c r="V6" s="19" t="n">
        <v>75</v>
      </c>
      <c r="W6" s="19" t="n">
        <v>75</v>
      </c>
      <c r="X6" s="19" t="n">
        <v>75</v>
      </c>
      <c r="Y6" s="19" t="n">
        <v>75</v>
      </c>
      <c r="Z6" s="19" t="n">
        <v>100</v>
      </c>
      <c r="AA6" s="19" t="n">
        <v>100</v>
      </c>
      <c r="AB6" s="19" t="n">
        <v>100</v>
      </c>
      <c r="AC6" s="19" t="n">
        <v>100</v>
      </c>
      <c r="AD6" s="19" t="n">
        <v>100</v>
      </c>
      <c r="AE6" s="19" t="n">
        <v>100</v>
      </c>
      <c r="AF6" s="19" t="n">
        <v>100</v>
      </c>
      <c r="AG6" s="19" t="n">
        <v>100</v>
      </c>
      <c r="AH6" s="19" t="n">
        <v>100</v>
      </c>
      <c r="AI6" s="19" t="n">
        <v>100</v>
      </c>
      <c r="AJ6" s="19" t="n">
        <v>100</v>
      </c>
      <c r="AK6" s="19" t="n">
        <v>100</v>
      </c>
    </row>
    <row r="7" customFormat="false" ht="15" hidden="false" customHeight="true" outlineLevel="0" collapsed="false">
      <c r="A7" s="6" t="s">
        <v>99</v>
      </c>
      <c r="B7" s="20" t="n">
        <v>0</v>
      </c>
      <c r="C7" s="20" t="n">
        <f aca="false">-ROUND(B9*Assumptions!$B$29,0)</f>
        <v>-0</v>
      </c>
      <c r="D7" s="20" t="n">
        <f aca="false">-ROUND(C9*Assumptions!$B$29,0)</f>
        <v>-1</v>
      </c>
      <c r="E7" s="20" t="n">
        <f aca="false">-ROUND(D9*Assumptions!$B$29,0)</f>
        <v>-1</v>
      </c>
      <c r="F7" s="20" t="n">
        <f aca="false">-ROUND(E9*Assumptions!$B$29,0)</f>
        <v>-1</v>
      </c>
      <c r="G7" s="20" t="n">
        <f aca="false">-ROUND(F9*Assumptions!$B$29,0)</f>
        <v>-2</v>
      </c>
      <c r="H7" s="20" t="n">
        <f aca="false">-ROUND(G9*Assumptions!$B$29,0)</f>
        <v>-2</v>
      </c>
      <c r="I7" s="20" t="n">
        <f aca="false">-ROUND(H9*Assumptions!$B$29,0)</f>
        <v>-3</v>
      </c>
      <c r="J7" s="20" t="n">
        <f aca="false">-ROUND(I9*Assumptions!$B$29,0)</f>
        <v>-4</v>
      </c>
      <c r="K7" s="20" t="n">
        <f aca="false">-ROUND(J9*Assumptions!$B$29,0)</f>
        <v>-5</v>
      </c>
      <c r="L7" s="20" t="n">
        <f aca="false">-ROUND(K9*Assumptions!$B$29,0)</f>
        <v>-6</v>
      </c>
      <c r="M7" s="20" t="n">
        <f aca="false">-ROUND(L9*Assumptions!$B$29,0)</f>
        <v>-8</v>
      </c>
      <c r="N7" s="20" t="n">
        <f aca="false">-ROUND(M9*Assumptions!$B$29,0)</f>
        <v>-9</v>
      </c>
      <c r="O7" s="20" t="n">
        <f aca="false">-ROUND(N9*Assumptions!$B$29,0)</f>
        <v>-11</v>
      </c>
      <c r="P7" s="20" t="n">
        <f aca="false">-ROUND(O9*Assumptions!$B$29,0)</f>
        <v>-13</v>
      </c>
      <c r="Q7" s="20" t="n">
        <f aca="false">-ROUND(P9*Assumptions!$B$29,0)</f>
        <v>-15</v>
      </c>
      <c r="R7" s="20" t="n">
        <f aca="false">-ROUND(Q9*Assumptions!$B$29,0)</f>
        <v>-16</v>
      </c>
      <c r="S7" s="20" t="n">
        <f aca="false">-ROUND(R9*Assumptions!$B$29,0)</f>
        <v>-18</v>
      </c>
      <c r="T7" s="20" t="n">
        <f aca="false">-ROUND(S9*Assumptions!$B$29,0)</f>
        <v>-20</v>
      </c>
      <c r="U7" s="20" t="n">
        <f aca="false">-ROUND(T9*Assumptions!$B$29,0)</f>
        <v>-23</v>
      </c>
      <c r="V7" s="20" t="n">
        <f aca="false">-ROUND(U9*Assumptions!$B$29,0)</f>
        <v>-25</v>
      </c>
      <c r="W7" s="20" t="n">
        <f aca="false">-ROUND(V9*Assumptions!$B$29,0)</f>
        <v>-28</v>
      </c>
      <c r="X7" s="20" t="n">
        <f aca="false">-ROUND(W9*Assumptions!$B$29,0)</f>
        <v>-30</v>
      </c>
      <c r="Y7" s="20" t="n">
        <f aca="false">-ROUND(X9*Assumptions!$B$29,0)</f>
        <v>-32</v>
      </c>
      <c r="Z7" s="20" t="n">
        <f aca="false">-ROUND(Y9*Assumptions!$B$29,0)</f>
        <v>-34</v>
      </c>
      <c r="AA7" s="20" t="n">
        <f aca="false">-ROUND(Z9*Assumptions!$B$29,0)</f>
        <v>-38</v>
      </c>
      <c r="AB7" s="20" t="n">
        <f aca="false">-ROUND(AA9*Assumptions!$B$29,0)</f>
        <v>-41</v>
      </c>
      <c r="AC7" s="20" t="n">
        <f aca="false">-ROUND(AB9*Assumptions!$B$29,0)</f>
        <v>-44</v>
      </c>
      <c r="AD7" s="20" t="n">
        <f aca="false">-ROUND(AC9*Assumptions!$B$29,0)</f>
        <v>-47</v>
      </c>
      <c r="AE7" s="20" t="n">
        <f aca="false">-ROUND(AD9*Assumptions!$B$29,0)</f>
        <v>-49</v>
      </c>
      <c r="AF7" s="20" t="n">
        <f aca="false">-ROUND(AE9*Assumptions!$B$29,0)</f>
        <v>-52</v>
      </c>
      <c r="AG7" s="20" t="n">
        <f aca="false">-ROUND(AF9*Assumptions!$B$29,0)</f>
        <v>-54</v>
      </c>
      <c r="AH7" s="20" t="n">
        <f aca="false">-ROUND(AG9*Assumptions!$B$29,0)</f>
        <v>-56</v>
      </c>
      <c r="AI7" s="20" t="n">
        <f aca="false">-ROUND(AH9*Assumptions!$B$29,0)</f>
        <v>-59</v>
      </c>
      <c r="AJ7" s="20" t="n">
        <f aca="false">-ROUND(AI9*Assumptions!$B$29,0)</f>
        <v>-61</v>
      </c>
      <c r="AK7" s="20" t="n">
        <f aca="false">-ROUND(AJ9*Assumptions!$B$29,0)</f>
        <v>-63</v>
      </c>
    </row>
    <row r="8" customFormat="false" ht="15" hidden="false" customHeight="true" outlineLevel="0" collapsed="false">
      <c r="A8" s="6" t="s">
        <v>100</v>
      </c>
      <c r="B8" s="20" t="n">
        <f aca="false">B6+B7</f>
        <v>5</v>
      </c>
      <c r="C8" s="20" t="n">
        <f aca="false">C6+C7</f>
        <v>5</v>
      </c>
      <c r="D8" s="20" t="n">
        <f aca="false">D6+D7</f>
        <v>4</v>
      </c>
      <c r="E8" s="20" t="n">
        <f aca="false">E6+E7</f>
        <v>9</v>
      </c>
      <c r="F8" s="20" t="n">
        <f aca="false">F6+F7</f>
        <v>9</v>
      </c>
      <c r="G8" s="20" t="n">
        <f aca="false">G6+G7</f>
        <v>8</v>
      </c>
      <c r="H8" s="20" t="n">
        <f aca="false">H6+H7</f>
        <v>18</v>
      </c>
      <c r="I8" s="20" t="n">
        <f aca="false">I6+I7</f>
        <v>17</v>
      </c>
      <c r="J8" s="20" t="n">
        <f aca="false">J6+J7</f>
        <v>16</v>
      </c>
      <c r="K8" s="20" t="n">
        <f aca="false">K6+K7</f>
        <v>30</v>
      </c>
      <c r="L8" s="20" t="n">
        <f aca="false">L6+L7</f>
        <v>29</v>
      </c>
      <c r="M8" s="20" t="n">
        <f aca="false">M6+M7</f>
        <v>27</v>
      </c>
      <c r="N8" s="20" t="n">
        <f aca="false">N6+N7</f>
        <v>41</v>
      </c>
      <c r="O8" s="20" t="n">
        <f aca="false">O6+O7</f>
        <v>39</v>
      </c>
      <c r="P8" s="20" t="n">
        <f aca="false">P6+P7</f>
        <v>37</v>
      </c>
      <c r="Q8" s="20" t="n">
        <f aca="false">Q6+Q7</f>
        <v>35</v>
      </c>
      <c r="R8" s="20" t="n">
        <f aca="false">R6+R7</f>
        <v>34</v>
      </c>
      <c r="S8" s="20" t="n">
        <f aca="false">S6+S7</f>
        <v>32</v>
      </c>
      <c r="T8" s="20" t="n">
        <f aca="false">T6+T7</f>
        <v>55</v>
      </c>
      <c r="U8" s="20" t="n">
        <f aca="false">U6+U7</f>
        <v>52</v>
      </c>
      <c r="V8" s="20" t="n">
        <f aca="false">V6+V7</f>
        <v>50</v>
      </c>
      <c r="W8" s="20" t="n">
        <f aca="false">W6+W7</f>
        <v>47</v>
      </c>
      <c r="X8" s="20" t="n">
        <f aca="false">X6+X7</f>
        <v>45</v>
      </c>
      <c r="Y8" s="20" t="n">
        <f aca="false">Y6+Y7</f>
        <v>43</v>
      </c>
      <c r="Z8" s="20" t="n">
        <f aca="false">Z6+Z7</f>
        <v>66</v>
      </c>
      <c r="AA8" s="20" t="n">
        <f aca="false">AA6+AA7</f>
        <v>62</v>
      </c>
      <c r="AB8" s="20" t="n">
        <f aca="false">AB6+AB7</f>
        <v>59</v>
      </c>
      <c r="AC8" s="20" t="n">
        <f aca="false">AC6+AC7</f>
        <v>56</v>
      </c>
      <c r="AD8" s="20" t="n">
        <f aca="false">AD6+AD7</f>
        <v>53</v>
      </c>
      <c r="AE8" s="20" t="n">
        <f aca="false">AE6+AE7</f>
        <v>51</v>
      </c>
      <c r="AF8" s="20" t="n">
        <f aca="false">AF6+AF7</f>
        <v>48</v>
      </c>
      <c r="AG8" s="20" t="n">
        <f aca="false">AG6+AG7</f>
        <v>46</v>
      </c>
      <c r="AH8" s="20" t="n">
        <f aca="false">AH6+AH7</f>
        <v>44</v>
      </c>
      <c r="AI8" s="20" t="n">
        <f aca="false">AI6+AI7</f>
        <v>41</v>
      </c>
      <c r="AJ8" s="20" t="n">
        <f aca="false">AJ6+AJ7</f>
        <v>39</v>
      </c>
      <c r="AK8" s="20" t="n">
        <f aca="false">AK6+AK7</f>
        <v>37</v>
      </c>
    </row>
    <row r="9" customFormat="false" ht="15" hidden="false" customHeight="true" outlineLevel="0" collapsed="false">
      <c r="A9" s="11" t="s">
        <v>101</v>
      </c>
      <c r="B9" s="13" t="n">
        <f aca="false">B8</f>
        <v>5</v>
      </c>
      <c r="C9" s="13" t="n">
        <f aca="false">B9+C8</f>
        <v>10</v>
      </c>
      <c r="D9" s="13" t="n">
        <f aca="false">C9+D8</f>
        <v>14</v>
      </c>
      <c r="E9" s="13" t="n">
        <f aca="false">D9+E8</f>
        <v>23</v>
      </c>
      <c r="F9" s="13" t="n">
        <f aca="false">E9+F8</f>
        <v>32</v>
      </c>
      <c r="G9" s="13" t="n">
        <f aca="false">F9+G8</f>
        <v>40</v>
      </c>
      <c r="H9" s="13" t="n">
        <f aca="false">G9+H8</f>
        <v>58</v>
      </c>
      <c r="I9" s="13" t="n">
        <f aca="false">H9+I8</f>
        <v>75</v>
      </c>
      <c r="J9" s="13" t="n">
        <f aca="false">I9+J8</f>
        <v>91</v>
      </c>
      <c r="K9" s="13" t="n">
        <f aca="false">J9+K8</f>
        <v>121</v>
      </c>
      <c r="L9" s="13" t="n">
        <f aca="false">K9+L8</f>
        <v>150</v>
      </c>
      <c r="M9" s="13" t="n">
        <f aca="false">L9+M8</f>
        <v>177</v>
      </c>
      <c r="N9" s="13" t="n">
        <f aca="false">M9+N8</f>
        <v>218</v>
      </c>
      <c r="O9" s="13" t="n">
        <f aca="false">N9+O8</f>
        <v>257</v>
      </c>
      <c r="P9" s="13" t="n">
        <f aca="false">O9+P8</f>
        <v>294</v>
      </c>
      <c r="Q9" s="13" t="n">
        <f aca="false">P9+Q8</f>
        <v>329</v>
      </c>
      <c r="R9" s="13" t="n">
        <f aca="false">Q9+R8</f>
        <v>363</v>
      </c>
      <c r="S9" s="13" t="n">
        <f aca="false">R9+S8</f>
        <v>395</v>
      </c>
      <c r="T9" s="13" t="n">
        <f aca="false">S9+T8</f>
        <v>450</v>
      </c>
      <c r="U9" s="13" t="n">
        <f aca="false">T9+U8</f>
        <v>502</v>
      </c>
      <c r="V9" s="13" t="n">
        <f aca="false">U9+V8</f>
        <v>552</v>
      </c>
      <c r="W9" s="13" t="n">
        <f aca="false">V9+W8</f>
        <v>599</v>
      </c>
      <c r="X9" s="13" t="n">
        <f aca="false">W9+X8</f>
        <v>644</v>
      </c>
      <c r="Y9" s="13" t="n">
        <f aca="false">X9+Y8</f>
        <v>687</v>
      </c>
      <c r="Z9" s="13" t="n">
        <f aca="false">Y9+Z8</f>
        <v>753</v>
      </c>
      <c r="AA9" s="13" t="n">
        <f aca="false">Z9+AA8</f>
        <v>815</v>
      </c>
      <c r="AB9" s="13" t="n">
        <f aca="false">AA9+AB8</f>
        <v>874</v>
      </c>
      <c r="AC9" s="13" t="n">
        <f aca="false">AB9+AC8</f>
        <v>930</v>
      </c>
      <c r="AD9" s="13" t="n">
        <f aca="false">AC9+AD8</f>
        <v>983</v>
      </c>
      <c r="AE9" s="13" t="n">
        <f aca="false">AD9+AE8</f>
        <v>1034</v>
      </c>
      <c r="AF9" s="13" t="n">
        <f aca="false">AE9+AF8</f>
        <v>1082</v>
      </c>
      <c r="AG9" s="13" t="n">
        <f aca="false">AF9+AG8</f>
        <v>1128</v>
      </c>
      <c r="AH9" s="13" t="n">
        <f aca="false">AG9+AH8</f>
        <v>1172</v>
      </c>
      <c r="AI9" s="13" t="n">
        <f aca="false">AH9+AI8</f>
        <v>1213</v>
      </c>
      <c r="AJ9" s="13" t="n">
        <f aca="false">AI9+AJ8</f>
        <v>1252</v>
      </c>
      <c r="AK9" s="13" t="n">
        <f aca="false">AJ9+AK8</f>
        <v>1289</v>
      </c>
    </row>
    <row r="11" customFormat="false" ht="15" hidden="false" customHeight="true" outlineLevel="0" collapsed="false">
      <c r="A11" s="5" t="s">
        <v>102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customFormat="false" ht="15" hidden="false" customHeight="true" outlineLevel="0" collapsed="false">
      <c r="A12" s="6" t="s">
        <v>103</v>
      </c>
      <c r="B12" s="10" t="n">
        <f aca="false">B9*Assumptions!$B$32</f>
        <v>763.75</v>
      </c>
      <c r="C12" s="10" t="n">
        <f aca="false">C9*Assumptions!$B$32</f>
        <v>1527.5</v>
      </c>
      <c r="D12" s="10" t="n">
        <f aca="false">D9*Assumptions!$B$32</f>
        <v>2138.5</v>
      </c>
      <c r="E12" s="10" t="n">
        <f aca="false">E9*Assumptions!$B$32</f>
        <v>3513.25</v>
      </c>
      <c r="F12" s="10" t="n">
        <f aca="false">F9*Assumptions!$B$32</f>
        <v>4888</v>
      </c>
      <c r="G12" s="10" t="n">
        <f aca="false">G9*Assumptions!$B$32</f>
        <v>6110</v>
      </c>
      <c r="H12" s="10" t="n">
        <f aca="false">H9*Assumptions!$B$32</f>
        <v>8859.5</v>
      </c>
      <c r="I12" s="10" t="n">
        <f aca="false">I9*Assumptions!$B$32</f>
        <v>11456.25</v>
      </c>
      <c r="J12" s="10" t="n">
        <f aca="false">J9*Assumptions!$B$32</f>
        <v>13900.25</v>
      </c>
      <c r="K12" s="10" t="n">
        <f aca="false">K9*Assumptions!$B$32</f>
        <v>18482.75</v>
      </c>
      <c r="L12" s="10" t="n">
        <f aca="false">L9*Assumptions!$B$32</f>
        <v>22912.5</v>
      </c>
      <c r="M12" s="10" t="n">
        <f aca="false">M9*Assumptions!$B$32</f>
        <v>27036.75</v>
      </c>
      <c r="N12" s="10" t="n">
        <f aca="false">N9*Assumptions!$B$32</f>
        <v>33299.5</v>
      </c>
      <c r="O12" s="10" t="n">
        <f aca="false">O9*Assumptions!$B$32</f>
        <v>39256.75</v>
      </c>
      <c r="P12" s="10" t="n">
        <f aca="false">P9*Assumptions!$B$32</f>
        <v>44908.5</v>
      </c>
      <c r="Q12" s="10" t="n">
        <f aca="false">Q9*Assumptions!$B$32</f>
        <v>50254.75</v>
      </c>
      <c r="R12" s="10" t="n">
        <f aca="false">R9*Assumptions!$B$32</f>
        <v>55448.25</v>
      </c>
      <c r="S12" s="10" t="n">
        <f aca="false">S9*Assumptions!$B$32</f>
        <v>60336.25</v>
      </c>
      <c r="T12" s="10" t="n">
        <f aca="false">T9*Assumptions!$B$32</f>
        <v>68737.5</v>
      </c>
      <c r="U12" s="10" t="n">
        <f aca="false">U9*Assumptions!$B$32</f>
        <v>76680.5</v>
      </c>
      <c r="V12" s="10" t="n">
        <f aca="false">V9*Assumptions!$B$32</f>
        <v>84318</v>
      </c>
      <c r="W12" s="10" t="n">
        <f aca="false">W9*Assumptions!$B$32</f>
        <v>91497.25</v>
      </c>
      <c r="X12" s="10" t="n">
        <f aca="false">X9*Assumptions!$B$32</f>
        <v>98371</v>
      </c>
      <c r="Y12" s="10" t="n">
        <f aca="false">Y9*Assumptions!$B$32</f>
        <v>104939.25</v>
      </c>
      <c r="Z12" s="10" t="n">
        <f aca="false">Z9*Assumptions!$B$32</f>
        <v>115020.75</v>
      </c>
      <c r="AA12" s="10" t="n">
        <f aca="false">AA9*Assumptions!$B$32</f>
        <v>124491.25</v>
      </c>
      <c r="AB12" s="10" t="n">
        <f aca="false">AB9*Assumptions!$B$32</f>
        <v>133503.5</v>
      </c>
      <c r="AC12" s="10" t="n">
        <f aca="false">AC9*Assumptions!$B$32</f>
        <v>142057.5</v>
      </c>
      <c r="AD12" s="10" t="n">
        <f aca="false">AD9*Assumptions!$B$32</f>
        <v>150153.25</v>
      </c>
      <c r="AE12" s="10" t="n">
        <f aca="false">AE9*Assumptions!$B$32</f>
        <v>157943.5</v>
      </c>
      <c r="AF12" s="10" t="n">
        <f aca="false">AF9*Assumptions!$B$32</f>
        <v>165275.5</v>
      </c>
      <c r="AG12" s="10" t="n">
        <f aca="false">AG9*Assumptions!$B$32</f>
        <v>172302</v>
      </c>
      <c r="AH12" s="10" t="n">
        <f aca="false">AH9*Assumptions!$B$32</f>
        <v>179023</v>
      </c>
      <c r="AI12" s="10" t="n">
        <f aca="false">AI9*Assumptions!$B$32</f>
        <v>185285.75</v>
      </c>
      <c r="AJ12" s="10" t="n">
        <f aca="false">AJ9*Assumptions!$B$32</f>
        <v>191243</v>
      </c>
      <c r="AK12" s="10" t="n">
        <f aca="false">AK9*Assumptions!$B$32</f>
        <v>196894.75</v>
      </c>
    </row>
    <row r="13" customFormat="false" ht="15" hidden="false" customHeight="true" outlineLevel="0" collapsed="false">
      <c r="A13" s="6" t="s">
        <v>104</v>
      </c>
      <c r="B13" s="10" t="n">
        <f aca="false">B9*Assumptions!$B$36</f>
        <v>40</v>
      </c>
      <c r="C13" s="10" t="n">
        <f aca="false">C9*Assumptions!$B$36</f>
        <v>80</v>
      </c>
      <c r="D13" s="10" t="n">
        <f aca="false">D9*Assumptions!$B$36</f>
        <v>112</v>
      </c>
      <c r="E13" s="10" t="n">
        <f aca="false">E9*Assumptions!$B$36</f>
        <v>184</v>
      </c>
      <c r="F13" s="10" t="n">
        <f aca="false">F9*Assumptions!$B$36</f>
        <v>256</v>
      </c>
      <c r="G13" s="10" t="n">
        <f aca="false">G9*Assumptions!$B$36</f>
        <v>320</v>
      </c>
      <c r="H13" s="10" t="n">
        <f aca="false">H9*Assumptions!$B$36</f>
        <v>464</v>
      </c>
      <c r="I13" s="10" t="n">
        <f aca="false">I9*Assumptions!$B$36</f>
        <v>600</v>
      </c>
      <c r="J13" s="10" t="n">
        <f aca="false">J9*Assumptions!$B$36</f>
        <v>728</v>
      </c>
      <c r="K13" s="10" t="n">
        <f aca="false">K9*Assumptions!$B$36</f>
        <v>968</v>
      </c>
      <c r="L13" s="10" t="n">
        <f aca="false">L9*Assumptions!$B$36</f>
        <v>1200</v>
      </c>
      <c r="M13" s="10" t="n">
        <f aca="false">M9*Assumptions!$B$36</f>
        <v>1416</v>
      </c>
      <c r="N13" s="10" t="n">
        <f aca="false">N9*Assumptions!$B$36</f>
        <v>1744</v>
      </c>
      <c r="O13" s="10" t="n">
        <f aca="false">O9*Assumptions!$B$36</f>
        <v>2056</v>
      </c>
      <c r="P13" s="10" t="n">
        <f aca="false">P9*Assumptions!$B$36</f>
        <v>2352</v>
      </c>
      <c r="Q13" s="10" t="n">
        <f aca="false">Q9*Assumptions!$B$36</f>
        <v>2632</v>
      </c>
      <c r="R13" s="10" t="n">
        <f aca="false">R9*Assumptions!$B$36</f>
        <v>2904</v>
      </c>
      <c r="S13" s="10" t="n">
        <f aca="false">S9*Assumptions!$B$36</f>
        <v>3160</v>
      </c>
      <c r="T13" s="10" t="n">
        <f aca="false">T9*Assumptions!$B$36</f>
        <v>3600</v>
      </c>
      <c r="U13" s="10" t="n">
        <f aca="false">U9*Assumptions!$B$36</f>
        <v>4016</v>
      </c>
      <c r="V13" s="10" t="n">
        <f aca="false">V9*Assumptions!$B$36</f>
        <v>4416</v>
      </c>
      <c r="W13" s="10" t="n">
        <f aca="false">W9*Assumptions!$B$36</f>
        <v>4792</v>
      </c>
      <c r="X13" s="10" t="n">
        <f aca="false">X9*Assumptions!$B$36</f>
        <v>5152</v>
      </c>
      <c r="Y13" s="10" t="n">
        <f aca="false">Y9*Assumptions!$B$36</f>
        <v>5496</v>
      </c>
      <c r="Z13" s="10" t="n">
        <f aca="false">Z9*Assumptions!$B$36</f>
        <v>6024</v>
      </c>
      <c r="AA13" s="10" t="n">
        <f aca="false">AA9*Assumptions!$B$36</f>
        <v>6520</v>
      </c>
      <c r="AB13" s="10" t="n">
        <f aca="false">AB9*Assumptions!$B$36</f>
        <v>6992</v>
      </c>
      <c r="AC13" s="10" t="n">
        <f aca="false">AC9*Assumptions!$B$36</f>
        <v>7440</v>
      </c>
      <c r="AD13" s="10" t="n">
        <f aca="false">AD9*Assumptions!$B$36</f>
        <v>7864</v>
      </c>
      <c r="AE13" s="10" t="n">
        <f aca="false">AE9*Assumptions!$B$36</f>
        <v>8272</v>
      </c>
      <c r="AF13" s="10" t="n">
        <f aca="false">AF9*Assumptions!$B$36</f>
        <v>8656</v>
      </c>
      <c r="AG13" s="10" t="n">
        <f aca="false">AG9*Assumptions!$B$36</f>
        <v>9024</v>
      </c>
      <c r="AH13" s="10" t="n">
        <f aca="false">AH9*Assumptions!$B$36</f>
        <v>9376</v>
      </c>
      <c r="AI13" s="10" t="n">
        <f aca="false">AI9*Assumptions!$B$36</f>
        <v>9704</v>
      </c>
      <c r="AJ13" s="10" t="n">
        <f aca="false">AJ9*Assumptions!$B$36</f>
        <v>10016</v>
      </c>
      <c r="AK13" s="10" t="n">
        <f aca="false">AK9*Assumptions!$B$36</f>
        <v>10312</v>
      </c>
    </row>
    <row r="14" customFormat="false" ht="15" hidden="false" customHeight="true" outlineLevel="0" collapsed="false">
      <c r="A14" s="6" t="s">
        <v>105</v>
      </c>
      <c r="B14" s="10" t="n">
        <f aca="false">ROUND(B9*0.1,0)*Assumptions!$B$37/12</f>
        <v>4.08333333333333</v>
      </c>
      <c r="C14" s="10" t="n">
        <f aca="false">ROUND(C9*0.1,0)*Assumptions!$B$37/12</f>
        <v>4.08333333333333</v>
      </c>
      <c r="D14" s="10" t="n">
        <f aca="false">ROUND(D9*0.1,0)*Assumptions!$B$37/12</f>
        <v>4.08333333333333</v>
      </c>
      <c r="E14" s="10" t="n">
        <f aca="false">ROUND(E9*0.1,0)*Assumptions!$B$37/12</f>
        <v>8.16666666666667</v>
      </c>
      <c r="F14" s="10" t="n">
        <f aca="false">ROUND(F9*0.1,0)*Assumptions!$B$37/12</f>
        <v>12.25</v>
      </c>
      <c r="G14" s="10" t="n">
        <f aca="false">ROUND(G9*0.1,0)*Assumptions!$B$37/12</f>
        <v>16.3333333333333</v>
      </c>
      <c r="H14" s="10" t="n">
        <f aca="false">ROUND(H9*0.1,0)*Assumptions!$B$37/12</f>
        <v>24.5</v>
      </c>
      <c r="I14" s="10" t="n">
        <f aca="false">ROUND(I9*0.1,0)*Assumptions!$B$37/12</f>
        <v>32.6666666666667</v>
      </c>
      <c r="J14" s="10" t="n">
        <f aca="false">ROUND(J9*0.1,0)*Assumptions!$B$37/12</f>
        <v>36.75</v>
      </c>
      <c r="K14" s="10" t="n">
        <f aca="false">ROUND(K9*0.1,0)*Assumptions!$B$37/12</f>
        <v>49</v>
      </c>
      <c r="L14" s="10" t="n">
        <f aca="false">ROUND(L9*0.1,0)*Assumptions!$B$37/12</f>
        <v>61.25</v>
      </c>
      <c r="M14" s="10" t="n">
        <f aca="false">ROUND(M9*0.1,0)*Assumptions!$B$37/12</f>
        <v>73.5</v>
      </c>
      <c r="N14" s="10" t="n">
        <f aca="false">ROUND(N9*0.1,0)*Assumptions!$B$37/12</f>
        <v>89.8333333333333</v>
      </c>
      <c r="O14" s="10" t="n">
        <f aca="false">ROUND(O9*0.1,0)*Assumptions!$B$37/12</f>
        <v>106.166666666667</v>
      </c>
      <c r="P14" s="10" t="n">
        <f aca="false">ROUND(P9*0.1,0)*Assumptions!$B$37/12</f>
        <v>118.416666666667</v>
      </c>
      <c r="Q14" s="10" t="n">
        <f aca="false">ROUND(Q9*0.1,0)*Assumptions!$B$37/12</f>
        <v>134.75</v>
      </c>
      <c r="R14" s="10" t="n">
        <f aca="false">ROUND(R9*0.1,0)*Assumptions!$B$37/12</f>
        <v>147</v>
      </c>
      <c r="S14" s="10" t="n">
        <f aca="false">ROUND(S9*0.1,0)*Assumptions!$B$37/12</f>
        <v>163.333333333333</v>
      </c>
      <c r="T14" s="10" t="n">
        <f aca="false">ROUND(T9*0.1,0)*Assumptions!$B$37/12</f>
        <v>183.75</v>
      </c>
      <c r="U14" s="10" t="n">
        <f aca="false">ROUND(U9*0.1,0)*Assumptions!$B$37/12</f>
        <v>204.166666666667</v>
      </c>
      <c r="V14" s="10" t="n">
        <f aca="false">ROUND(V9*0.1,0)*Assumptions!$B$37/12</f>
        <v>224.583333333333</v>
      </c>
      <c r="W14" s="10" t="n">
        <f aca="false">ROUND(W9*0.1,0)*Assumptions!$B$37/12</f>
        <v>245</v>
      </c>
      <c r="X14" s="10" t="n">
        <f aca="false">ROUND(X9*0.1,0)*Assumptions!$B$37/12</f>
        <v>261.333333333333</v>
      </c>
      <c r="Y14" s="10" t="n">
        <f aca="false">ROUND(Y9*0.1,0)*Assumptions!$B$37/12</f>
        <v>281.75</v>
      </c>
      <c r="Z14" s="10" t="n">
        <f aca="false">ROUND(Z9*0.1,0)*Assumptions!$B$37/12</f>
        <v>306.25</v>
      </c>
      <c r="AA14" s="10" t="n">
        <f aca="false">ROUND(AA9*0.1,0)*Assumptions!$B$37/12</f>
        <v>334.833333333333</v>
      </c>
      <c r="AB14" s="10" t="n">
        <f aca="false">ROUND(AB9*0.1,0)*Assumptions!$B$37/12</f>
        <v>355.25</v>
      </c>
      <c r="AC14" s="10" t="n">
        <f aca="false">ROUND(AC9*0.1,0)*Assumptions!$B$37/12</f>
        <v>379.75</v>
      </c>
      <c r="AD14" s="10" t="n">
        <f aca="false">ROUND(AD9*0.1,0)*Assumptions!$B$37/12</f>
        <v>400.166666666667</v>
      </c>
      <c r="AE14" s="10" t="n">
        <f aca="false">ROUND(AE9*0.1,0)*Assumptions!$B$37/12</f>
        <v>420.583333333333</v>
      </c>
      <c r="AF14" s="10" t="n">
        <f aca="false">ROUND(AF9*0.1,0)*Assumptions!$B$37/12</f>
        <v>441</v>
      </c>
      <c r="AG14" s="10" t="n">
        <f aca="false">ROUND(AG9*0.1,0)*Assumptions!$B$37/12</f>
        <v>461.416666666667</v>
      </c>
      <c r="AH14" s="10" t="n">
        <f aca="false">ROUND(AH9*0.1,0)*Assumptions!$B$37/12</f>
        <v>477.75</v>
      </c>
      <c r="AI14" s="10" t="n">
        <f aca="false">ROUND(AI9*0.1,0)*Assumptions!$B$37/12</f>
        <v>494.083333333333</v>
      </c>
      <c r="AJ14" s="10" t="n">
        <f aca="false">ROUND(AJ9*0.1,0)*Assumptions!$B$37/12</f>
        <v>510.416666666667</v>
      </c>
      <c r="AK14" s="10" t="n">
        <f aca="false">ROUND(AK9*0.1,0)*Assumptions!$B$37/12</f>
        <v>526.75</v>
      </c>
    </row>
    <row r="15" customFormat="false" ht="15" hidden="false" customHeight="true" outlineLevel="0" collapsed="false">
      <c r="A15" s="11" t="s">
        <v>106</v>
      </c>
      <c r="B15" s="21" t="n">
        <f aca="false">B12+B13+B14</f>
        <v>807.833333333333</v>
      </c>
      <c r="C15" s="21" t="n">
        <f aca="false">C12+C13+C14</f>
        <v>1611.58333333333</v>
      </c>
      <c r="D15" s="21" t="n">
        <f aca="false">D12+D13+D14</f>
        <v>2254.58333333333</v>
      </c>
      <c r="E15" s="21" t="n">
        <f aca="false">E12+E13+E14</f>
        <v>3705.41666666667</v>
      </c>
      <c r="F15" s="21" t="n">
        <f aca="false">F12+F13+F14</f>
        <v>5156.25</v>
      </c>
      <c r="G15" s="21" t="n">
        <f aca="false">G12+G13+G14</f>
        <v>6446.33333333333</v>
      </c>
      <c r="H15" s="21" t="n">
        <f aca="false">H12+H13+H14</f>
        <v>9348</v>
      </c>
      <c r="I15" s="21" t="n">
        <f aca="false">I12+I13+I14</f>
        <v>12088.9166666667</v>
      </c>
      <c r="J15" s="21" t="n">
        <f aca="false">J12+J13+J14</f>
        <v>14665</v>
      </c>
      <c r="K15" s="21" t="n">
        <f aca="false">K12+K13+K14</f>
        <v>19499.75</v>
      </c>
      <c r="L15" s="21" t="n">
        <f aca="false">L12+L13+L14</f>
        <v>24173.75</v>
      </c>
      <c r="M15" s="21" t="n">
        <f aca="false">M12+M13+M14</f>
        <v>28526.25</v>
      </c>
      <c r="N15" s="21" t="n">
        <f aca="false">N12+N13+N14</f>
        <v>35133.3333333333</v>
      </c>
      <c r="O15" s="21" t="n">
        <f aca="false">O12+O13+O14</f>
        <v>41418.9166666667</v>
      </c>
      <c r="P15" s="21" t="n">
        <f aca="false">P12+P13+P14</f>
        <v>47378.9166666667</v>
      </c>
      <c r="Q15" s="21" t="n">
        <f aca="false">Q12+Q13+Q14</f>
        <v>53021.5</v>
      </c>
      <c r="R15" s="21" t="n">
        <f aca="false">R12+R13+R14</f>
        <v>58499.25</v>
      </c>
      <c r="S15" s="21" t="n">
        <f aca="false">S12+S13+S14</f>
        <v>63659.5833333333</v>
      </c>
      <c r="T15" s="21" t="n">
        <f aca="false">T12+T13+T14</f>
        <v>72521.25</v>
      </c>
      <c r="U15" s="21" t="n">
        <f aca="false">U12+U13+U14</f>
        <v>80900.6666666667</v>
      </c>
      <c r="V15" s="21" t="n">
        <f aca="false">V12+V13+V14</f>
        <v>88958.5833333333</v>
      </c>
      <c r="W15" s="21" t="n">
        <f aca="false">W12+W13+W14</f>
        <v>96534.25</v>
      </c>
      <c r="X15" s="21" t="n">
        <f aca="false">X12+X13+X14</f>
        <v>103784.333333333</v>
      </c>
      <c r="Y15" s="21" t="n">
        <f aca="false">Y12+Y13+Y14</f>
        <v>110717</v>
      </c>
      <c r="Z15" s="21" t="n">
        <f aca="false">Z12+Z13+Z14</f>
        <v>121351</v>
      </c>
      <c r="AA15" s="21" t="n">
        <f aca="false">AA12+AA13+AA14</f>
        <v>131346.083333333</v>
      </c>
      <c r="AB15" s="21" t="n">
        <f aca="false">AB12+AB13+AB14</f>
        <v>140850.75</v>
      </c>
      <c r="AC15" s="21" t="n">
        <f aca="false">AC12+AC13+AC14</f>
        <v>149877.25</v>
      </c>
      <c r="AD15" s="21" t="n">
        <f aca="false">AD12+AD13+AD14</f>
        <v>158417.416666667</v>
      </c>
      <c r="AE15" s="21" t="n">
        <f aca="false">AE12+AE13+AE14</f>
        <v>166636.083333333</v>
      </c>
      <c r="AF15" s="21" t="n">
        <f aca="false">AF12+AF13+AF14</f>
        <v>174372.5</v>
      </c>
      <c r="AG15" s="21" t="n">
        <f aca="false">AG12+AG13+AG14</f>
        <v>181787.416666667</v>
      </c>
      <c r="AH15" s="21" t="n">
        <f aca="false">AH12+AH13+AH14</f>
        <v>188876.75</v>
      </c>
      <c r="AI15" s="21" t="n">
        <f aca="false">AI12+AI13+AI14</f>
        <v>195483.833333333</v>
      </c>
      <c r="AJ15" s="21" t="n">
        <f aca="false">AJ12+AJ13+AJ14</f>
        <v>201769.416666667</v>
      </c>
      <c r="AK15" s="21" t="n">
        <f aca="false">AK12+AK13+AK14</f>
        <v>207733.5</v>
      </c>
    </row>
    <row r="17" customFormat="false" ht="15" hidden="false" customHeight="true" outlineLevel="0" collapsed="false">
      <c r="A17" s="5" t="s">
        <v>107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customFormat="false" ht="15" hidden="false" customHeight="true" outlineLevel="0" collapsed="false">
      <c r="A18" s="6" t="s">
        <v>108</v>
      </c>
      <c r="B18" s="10" t="n">
        <f aca="false">Assumptions!$B$21*(1+Assumptions!$B$46)^0</f>
        <v>27800</v>
      </c>
      <c r="C18" s="10" t="n">
        <f aca="false">Assumptions!$B$21*(1+Assumptions!$B$46)^0</f>
        <v>27800</v>
      </c>
      <c r="D18" s="10" t="n">
        <f aca="false">Assumptions!$B$21*(1+Assumptions!$B$46)^0</f>
        <v>27800</v>
      </c>
      <c r="E18" s="10" t="n">
        <f aca="false">Assumptions!$B$21*(1+Assumptions!$B$46)^1</f>
        <v>29190</v>
      </c>
      <c r="F18" s="10" t="n">
        <f aca="false">Assumptions!$B$21*(1+Assumptions!$B$46)^1</f>
        <v>29190</v>
      </c>
      <c r="G18" s="10" t="n">
        <f aca="false">Assumptions!$B$21*(1+Assumptions!$B$46)^1</f>
        <v>29190</v>
      </c>
      <c r="H18" s="10" t="n">
        <f aca="false">Assumptions!$B$21*(1+Assumptions!$B$46)^2</f>
        <v>30649.5</v>
      </c>
      <c r="I18" s="10" t="n">
        <f aca="false">Assumptions!$B$21*(1+Assumptions!$B$46)^2</f>
        <v>30649.5</v>
      </c>
      <c r="J18" s="10" t="n">
        <f aca="false">Assumptions!$B$21*(1+Assumptions!$B$46)^2</f>
        <v>30649.5</v>
      </c>
      <c r="K18" s="10" t="n">
        <f aca="false">Assumptions!$B$21*(1+Assumptions!$B$46)^3</f>
        <v>32181.975</v>
      </c>
      <c r="L18" s="10" t="n">
        <f aca="false">Assumptions!$B$21*(1+Assumptions!$B$46)^3</f>
        <v>32181.975</v>
      </c>
      <c r="M18" s="10" t="n">
        <f aca="false">Assumptions!$B$21*(1+Assumptions!$B$46)^3</f>
        <v>32181.975</v>
      </c>
      <c r="N18" s="10" t="n">
        <f aca="false">Assumptions!$B$21*(1+Assumptions!$B$46)^4</f>
        <v>33791.07375</v>
      </c>
      <c r="O18" s="10" t="n">
        <f aca="false">Assumptions!$B$21*(1+Assumptions!$B$46)^4</f>
        <v>33791.07375</v>
      </c>
      <c r="P18" s="10" t="n">
        <f aca="false">Assumptions!$B$21*(1+Assumptions!$B$46)^4</f>
        <v>33791.07375</v>
      </c>
      <c r="Q18" s="10" t="n">
        <f aca="false">Assumptions!$B$21*(1+Assumptions!$B$46)^5</f>
        <v>35480.6274375</v>
      </c>
      <c r="R18" s="10" t="n">
        <f aca="false">Assumptions!$B$21*(1+Assumptions!$B$46)^5</f>
        <v>35480.6274375</v>
      </c>
      <c r="S18" s="10" t="n">
        <f aca="false">Assumptions!$B$21*(1+Assumptions!$B$46)^5</f>
        <v>35480.6274375</v>
      </c>
      <c r="T18" s="10" t="n">
        <f aca="false">Assumptions!$B$21*(1+Assumptions!$B$46)^6</f>
        <v>37254.658809375</v>
      </c>
      <c r="U18" s="10" t="n">
        <f aca="false">Assumptions!$B$21*(1+Assumptions!$B$46)^6</f>
        <v>37254.658809375</v>
      </c>
      <c r="V18" s="10" t="n">
        <f aca="false">Assumptions!$B$21*(1+Assumptions!$B$46)^6</f>
        <v>37254.658809375</v>
      </c>
      <c r="W18" s="10" t="n">
        <f aca="false">Assumptions!$B$21*(1+Assumptions!$B$46)^7</f>
        <v>39117.3917498438</v>
      </c>
      <c r="X18" s="10" t="n">
        <f aca="false">Assumptions!$B$21*(1+Assumptions!$B$46)^7</f>
        <v>39117.3917498438</v>
      </c>
      <c r="Y18" s="10" t="n">
        <f aca="false">Assumptions!$B$21*(1+Assumptions!$B$46)^7</f>
        <v>39117.3917498438</v>
      </c>
      <c r="Z18" s="10" t="n">
        <f aca="false">Assumptions!$B$21*(1+Assumptions!$B$46)^8</f>
        <v>41073.261337336</v>
      </c>
      <c r="AA18" s="10" t="n">
        <f aca="false">Assumptions!$B$21*(1+Assumptions!$B$46)^8</f>
        <v>41073.261337336</v>
      </c>
      <c r="AB18" s="10" t="n">
        <f aca="false">Assumptions!$B$21*(1+Assumptions!$B$46)^8</f>
        <v>41073.261337336</v>
      </c>
      <c r="AC18" s="10" t="n">
        <f aca="false">Assumptions!$B$21*(1+Assumptions!$B$46)^9</f>
        <v>43126.9244042028</v>
      </c>
      <c r="AD18" s="10" t="n">
        <f aca="false">Assumptions!$B$21*(1+Assumptions!$B$46)^9</f>
        <v>43126.9244042028</v>
      </c>
      <c r="AE18" s="10" t="n">
        <f aca="false">Assumptions!$B$21*(1+Assumptions!$B$46)^9</f>
        <v>43126.9244042028</v>
      </c>
      <c r="AF18" s="10" t="n">
        <f aca="false">Assumptions!$B$21*(1+Assumptions!$B$46)^10</f>
        <v>45283.2706244129</v>
      </c>
      <c r="AG18" s="10" t="n">
        <f aca="false">Assumptions!$B$21*(1+Assumptions!$B$46)^10</f>
        <v>45283.2706244129</v>
      </c>
      <c r="AH18" s="10" t="n">
        <f aca="false">Assumptions!$B$21*(1+Assumptions!$B$46)^10</f>
        <v>45283.2706244129</v>
      </c>
      <c r="AI18" s="10" t="n">
        <f aca="false">Assumptions!$B$21*(1+Assumptions!$B$46)^11</f>
        <v>47547.4341556335</v>
      </c>
      <c r="AJ18" s="10" t="n">
        <f aca="false">Assumptions!$B$21*(1+Assumptions!$B$46)^11</f>
        <v>47547.4341556335</v>
      </c>
      <c r="AK18" s="10" t="n">
        <f aca="false">Assumptions!$B$21*(1+Assumptions!$B$46)^11</f>
        <v>47547.4341556335</v>
      </c>
    </row>
    <row r="19" customFormat="false" ht="15" hidden="false" customHeight="true" outlineLevel="0" collapsed="false">
      <c r="A19" s="6" t="s">
        <v>109</v>
      </c>
      <c r="B19" s="10" t="n">
        <f aca="false">MAX(0,B9*5-Assumptions!$B$15)</f>
        <v>0</v>
      </c>
      <c r="C19" s="10" t="n">
        <f aca="false">MAX(0,C9*5-Assumptions!$B$15)</f>
        <v>0</v>
      </c>
      <c r="D19" s="10" t="n">
        <f aca="false">MAX(0,D9*5-Assumptions!$B$15)</f>
        <v>0</v>
      </c>
      <c r="E19" s="10" t="n">
        <f aca="false">MAX(0,E9*5-Assumptions!$B$15)</f>
        <v>0</v>
      </c>
      <c r="F19" s="10" t="n">
        <f aca="false">MAX(0,F9*5-Assumptions!$B$15)</f>
        <v>0</v>
      </c>
      <c r="G19" s="10" t="n">
        <f aca="false">MAX(0,G9*5-Assumptions!$B$15)</f>
        <v>0</v>
      </c>
      <c r="H19" s="10" t="n">
        <f aca="false">MAX(0,H9*5-Assumptions!$B$15)</f>
        <v>0</v>
      </c>
      <c r="I19" s="10" t="n">
        <f aca="false">MAX(0,I9*5-Assumptions!$B$15)</f>
        <v>0</v>
      </c>
      <c r="J19" s="10" t="n">
        <f aca="false">MAX(0,J9*5-Assumptions!$B$15)</f>
        <v>0</v>
      </c>
      <c r="K19" s="10" t="n">
        <f aca="false">MAX(0,K9*5-Assumptions!$B$15)</f>
        <v>0</v>
      </c>
      <c r="L19" s="10" t="n">
        <f aca="false">MAX(0,L9*5-Assumptions!$B$15)</f>
        <v>0</v>
      </c>
      <c r="M19" s="10" t="n">
        <f aca="false">MAX(0,M9*5-Assumptions!$B$15)</f>
        <v>0</v>
      </c>
      <c r="N19" s="10" t="n">
        <f aca="false">MAX(0,N9*5-Assumptions!$B$15)</f>
        <v>0</v>
      </c>
      <c r="O19" s="10" t="n">
        <f aca="false">MAX(0,O9*5-Assumptions!$B$15)</f>
        <v>0</v>
      </c>
      <c r="P19" s="10" t="n">
        <f aca="false">MAX(0,P9*5-Assumptions!$B$15)</f>
        <v>0</v>
      </c>
      <c r="Q19" s="10" t="n">
        <f aca="false">MAX(0,Q9*5-Assumptions!$B$15)</f>
        <v>0</v>
      </c>
      <c r="R19" s="10" t="n">
        <f aca="false">MAX(0,R9*5-Assumptions!$B$15)</f>
        <v>0</v>
      </c>
      <c r="S19" s="10" t="n">
        <f aca="false">MAX(0,S9*5-Assumptions!$B$15)</f>
        <v>0</v>
      </c>
      <c r="T19" s="10" t="n">
        <f aca="false">MAX(0,T9*5-Assumptions!$B$15)</f>
        <v>0</v>
      </c>
      <c r="U19" s="10" t="n">
        <f aca="false">MAX(0,U9*5-Assumptions!$B$15)</f>
        <v>0</v>
      </c>
      <c r="V19" s="10" t="n">
        <f aca="false">MAX(0,V9*5-Assumptions!$B$15)</f>
        <v>0</v>
      </c>
      <c r="W19" s="10" t="n">
        <f aca="false">MAX(0,W9*5-Assumptions!$B$15)</f>
        <v>0</v>
      </c>
      <c r="X19" s="10" t="n">
        <f aca="false">MAX(0,X9*5-Assumptions!$B$15)</f>
        <v>220</v>
      </c>
      <c r="Y19" s="10" t="n">
        <f aca="false">MAX(0,Y9*5-Assumptions!$B$15)</f>
        <v>435</v>
      </c>
      <c r="Z19" s="10" t="n">
        <f aca="false">MAX(0,Z9*5-Assumptions!$B$15)</f>
        <v>765</v>
      </c>
      <c r="AA19" s="10" t="n">
        <f aca="false">MAX(0,AA9*5-Assumptions!$B$15)</f>
        <v>1075</v>
      </c>
      <c r="AB19" s="10" t="n">
        <f aca="false">MAX(0,AB9*5-Assumptions!$B$15)</f>
        <v>1370</v>
      </c>
      <c r="AC19" s="10" t="n">
        <f aca="false">MAX(0,AC9*5-Assumptions!$B$15)</f>
        <v>1650</v>
      </c>
      <c r="AD19" s="10" t="n">
        <f aca="false">MAX(0,AD9*5-Assumptions!$B$15)</f>
        <v>1915</v>
      </c>
      <c r="AE19" s="10" t="n">
        <f aca="false">MAX(0,AE9*5-Assumptions!$B$15)</f>
        <v>2170</v>
      </c>
      <c r="AF19" s="10" t="n">
        <f aca="false">MAX(0,AF9*5-Assumptions!$B$15)</f>
        <v>2410</v>
      </c>
      <c r="AG19" s="10" t="n">
        <f aca="false">MAX(0,AG9*5-Assumptions!$B$15)</f>
        <v>2640</v>
      </c>
      <c r="AH19" s="10" t="n">
        <f aca="false">MAX(0,AH9*5-Assumptions!$B$15)</f>
        <v>2860</v>
      </c>
      <c r="AI19" s="10" t="n">
        <f aca="false">MAX(0,AI9*5-Assumptions!$B$15)</f>
        <v>3065</v>
      </c>
      <c r="AJ19" s="10" t="n">
        <f aca="false">MAX(0,AJ9*5-Assumptions!$B$15)</f>
        <v>3260</v>
      </c>
      <c r="AK19" s="10" t="n">
        <f aca="false">MAX(0,AK9*5-Assumptions!$B$15)</f>
        <v>3445</v>
      </c>
    </row>
    <row r="20" customFormat="false" ht="15" hidden="false" customHeight="true" outlineLevel="0" collapsed="false">
      <c r="A20" s="11" t="s">
        <v>110</v>
      </c>
      <c r="B20" s="21" t="n">
        <f aca="false">B18+B19</f>
        <v>27800</v>
      </c>
      <c r="C20" s="21" t="n">
        <f aca="false">C18+C19</f>
        <v>27800</v>
      </c>
      <c r="D20" s="21" t="n">
        <f aca="false">D18+D19</f>
        <v>27800</v>
      </c>
      <c r="E20" s="21" t="n">
        <f aca="false">E18+E19</f>
        <v>29190</v>
      </c>
      <c r="F20" s="21" t="n">
        <f aca="false">F18+F19</f>
        <v>29190</v>
      </c>
      <c r="G20" s="21" t="n">
        <f aca="false">G18+G19</f>
        <v>29190</v>
      </c>
      <c r="H20" s="21" t="n">
        <f aca="false">H18+H19</f>
        <v>30649.5</v>
      </c>
      <c r="I20" s="21" t="n">
        <f aca="false">I18+I19</f>
        <v>30649.5</v>
      </c>
      <c r="J20" s="21" t="n">
        <f aca="false">J18+J19</f>
        <v>30649.5</v>
      </c>
      <c r="K20" s="21" t="n">
        <f aca="false">K18+K19</f>
        <v>32181.975</v>
      </c>
      <c r="L20" s="21" t="n">
        <f aca="false">L18+L19</f>
        <v>32181.975</v>
      </c>
      <c r="M20" s="21" t="n">
        <f aca="false">M18+M19</f>
        <v>32181.975</v>
      </c>
      <c r="N20" s="21" t="n">
        <f aca="false">N18+N19</f>
        <v>33791.07375</v>
      </c>
      <c r="O20" s="21" t="n">
        <f aca="false">O18+O19</f>
        <v>33791.07375</v>
      </c>
      <c r="P20" s="21" t="n">
        <f aca="false">P18+P19</f>
        <v>33791.07375</v>
      </c>
      <c r="Q20" s="21" t="n">
        <f aca="false">Q18+Q19</f>
        <v>35480.6274375</v>
      </c>
      <c r="R20" s="21" t="n">
        <f aca="false">R18+R19</f>
        <v>35480.6274375</v>
      </c>
      <c r="S20" s="21" t="n">
        <f aca="false">S18+S19</f>
        <v>35480.6274375</v>
      </c>
      <c r="T20" s="21" t="n">
        <f aca="false">T18+T19</f>
        <v>37254.658809375</v>
      </c>
      <c r="U20" s="21" t="n">
        <f aca="false">U18+U19</f>
        <v>37254.658809375</v>
      </c>
      <c r="V20" s="21" t="n">
        <f aca="false">V18+V19</f>
        <v>37254.658809375</v>
      </c>
      <c r="W20" s="21" t="n">
        <f aca="false">W18+W19</f>
        <v>39117.3917498438</v>
      </c>
      <c r="X20" s="21" t="n">
        <f aca="false">X18+X19</f>
        <v>39337.3917498438</v>
      </c>
      <c r="Y20" s="21" t="n">
        <f aca="false">Y18+Y19</f>
        <v>39552.3917498438</v>
      </c>
      <c r="Z20" s="21" t="n">
        <f aca="false">Z18+Z19</f>
        <v>41838.261337336</v>
      </c>
      <c r="AA20" s="21" t="n">
        <f aca="false">AA18+AA19</f>
        <v>42148.261337336</v>
      </c>
      <c r="AB20" s="21" t="n">
        <f aca="false">AB18+AB19</f>
        <v>42443.261337336</v>
      </c>
      <c r="AC20" s="21" t="n">
        <f aca="false">AC18+AC19</f>
        <v>44776.9244042028</v>
      </c>
      <c r="AD20" s="21" t="n">
        <f aca="false">AD18+AD19</f>
        <v>45041.9244042028</v>
      </c>
      <c r="AE20" s="21" t="n">
        <f aca="false">AE18+AE19</f>
        <v>45296.9244042028</v>
      </c>
      <c r="AF20" s="21" t="n">
        <f aca="false">AF18+AF19</f>
        <v>47693.2706244129</v>
      </c>
      <c r="AG20" s="21" t="n">
        <f aca="false">AG18+AG19</f>
        <v>47923.2706244129</v>
      </c>
      <c r="AH20" s="21" t="n">
        <f aca="false">AH18+AH19</f>
        <v>48143.2706244129</v>
      </c>
      <c r="AI20" s="21" t="n">
        <f aca="false">AI18+AI19</f>
        <v>50612.4341556335</v>
      </c>
      <c r="AJ20" s="21" t="n">
        <f aca="false">AJ18+AJ19</f>
        <v>50807.4341556335</v>
      </c>
      <c r="AK20" s="21" t="n">
        <f aca="false">AK18+AK19</f>
        <v>50992.4341556335</v>
      </c>
    </row>
    <row r="22" customFormat="false" ht="15" hidden="false" customHeight="true" outlineLevel="0" collapsed="false">
      <c r="A22" s="5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customFormat="false" ht="15" hidden="false" customHeight="true" outlineLevel="0" collapsed="false">
      <c r="A23" s="6" t="s">
        <v>112</v>
      </c>
      <c r="B23" s="10" t="n">
        <f aca="false">B15-B20</f>
        <v>-26992.1666666667</v>
      </c>
      <c r="C23" s="10" t="n">
        <f aca="false">C15-C20</f>
        <v>-26188.4166666667</v>
      </c>
      <c r="D23" s="10" t="n">
        <f aca="false">D15-D20</f>
        <v>-25545.4166666667</v>
      </c>
      <c r="E23" s="10" t="n">
        <f aca="false">E15-E20</f>
        <v>-25484.5833333333</v>
      </c>
      <c r="F23" s="10" t="n">
        <f aca="false">F15-F20</f>
        <v>-24033.75</v>
      </c>
      <c r="G23" s="10" t="n">
        <f aca="false">G15-G20</f>
        <v>-22743.6666666667</v>
      </c>
      <c r="H23" s="10" t="n">
        <f aca="false">H15-H20</f>
        <v>-21301.5</v>
      </c>
      <c r="I23" s="10" t="n">
        <f aca="false">I15-I20</f>
        <v>-18560.5833333333</v>
      </c>
      <c r="J23" s="10" t="n">
        <f aca="false">J15-J20</f>
        <v>-15984.5</v>
      </c>
      <c r="K23" s="10" t="n">
        <f aca="false">K15-K20</f>
        <v>-12682.225</v>
      </c>
      <c r="L23" s="10" t="n">
        <f aca="false">L15-L20</f>
        <v>-8008.225</v>
      </c>
      <c r="M23" s="10" t="n">
        <f aca="false">M15-M20</f>
        <v>-3655.725</v>
      </c>
      <c r="N23" s="10" t="n">
        <f aca="false">N15-N20</f>
        <v>1342.25958333333</v>
      </c>
      <c r="O23" s="10" t="n">
        <f aca="false">O15-O20</f>
        <v>7627.84291666666</v>
      </c>
      <c r="P23" s="10" t="n">
        <f aca="false">P15-P20</f>
        <v>13587.8429166667</v>
      </c>
      <c r="Q23" s="10" t="n">
        <f aca="false">Q15-Q20</f>
        <v>17540.8725625</v>
      </c>
      <c r="R23" s="10" t="n">
        <f aca="false">R15-R20</f>
        <v>23018.6225625</v>
      </c>
      <c r="S23" s="10" t="n">
        <f aca="false">S15-S20</f>
        <v>28178.9558958333</v>
      </c>
      <c r="T23" s="10" t="n">
        <f aca="false">T15-T20</f>
        <v>35266.591190625</v>
      </c>
      <c r="U23" s="10" t="n">
        <f aca="false">U15-U20</f>
        <v>43646.0078572917</v>
      </c>
      <c r="V23" s="10" t="n">
        <f aca="false">V15-V20</f>
        <v>51703.9245239583</v>
      </c>
      <c r="W23" s="10" t="n">
        <f aca="false">W15-W20</f>
        <v>57416.8582501562</v>
      </c>
      <c r="X23" s="10" t="n">
        <f aca="false">X15-X20</f>
        <v>64446.9415834896</v>
      </c>
      <c r="Y23" s="10" t="n">
        <f aca="false">Y15-Y20</f>
        <v>71164.6082501562</v>
      </c>
      <c r="Z23" s="10" t="n">
        <f aca="false">Z15-Z20</f>
        <v>79512.7386626641</v>
      </c>
      <c r="AA23" s="10" t="n">
        <f aca="false">AA15-AA20</f>
        <v>89197.8219959974</v>
      </c>
      <c r="AB23" s="10" t="n">
        <f aca="false">AB15-AB20</f>
        <v>98407.4886626641</v>
      </c>
      <c r="AC23" s="10" t="n">
        <f aca="false">AC15-AC20</f>
        <v>105100.325595797</v>
      </c>
      <c r="AD23" s="10" t="n">
        <f aca="false">AD15-AD20</f>
        <v>113375.492262464</v>
      </c>
      <c r="AE23" s="10" t="n">
        <f aca="false">AE15-AE20</f>
        <v>121339.158929131</v>
      </c>
      <c r="AF23" s="10" t="n">
        <f aca="false">AF15-AF20</f>
        <v>126679.229375587</v>
      </c>
      <c r="AG23" s="10" t="n">
        <f aca="false">AG15-AG20</f>
        <v>133864.146042254</v>
      </c>
      <c r="AH23" s="10" t="n">
        <f aca="false">AH15-AH20</f>
        <v>140733.479375587</v>
      </c>
      <c r="AI23" s="10" t="n">
        <f aca="false">AI15-AI20</f>
        <v>144871.3991777</v>
      </c>
      <c r="AJ23" s="10" t="n">
        <f aca="false">AJ15-AJ20</f>
        <v>150961.982511033</v>
      </c>
      <c r="AK23" s="10" t="n">
        <f aca="false">AK15-AK20</f>
        <v>156741.065844366</v>
      </c>
    </row>
    <row r="24" customFormat="false" ht="15" hidden="false" customHeight="true" outlineLevel="0" collapsed="false">
      <c r="A24" s="11" t="s">
        <v>113</v>
      </c>
      <c r="B24" s="12" t="n">
        <f aca="false">Assumptions!$B$11+B23</f>
        <v>776047.833333333</v>
      </c>
      <c r="C24" s="12" t="n">
        <f aca="false">B24+C23</f>
        <v>749859.416666667</v>
      </c>
      <c r="D24" s="12" t="n">
        <f aca="false">C24+D23</f>
        <v>724314</v>
      </c>
      <c r="E24" s="12" t="n">
        <f aca="false">D24+E23</f>
        <v>698829.416666667</v>
      </c>
      <c r="F24" s="12" t="n">
        <f aca="false">E24+F23</f>
        <v>674795.666666667</v>
      </c>
      <c r="G24" s="12" t="n">
        <f aca="false">F24+G23</f>
        <v>652052</v>
      </c>
      <c r="H24" s="12" t="n">
        <f aca="false">G24+H23</f>
        <v>630750.5</v>
      </c>
      <c r="I24" s="12" t="n">
        <f aca="false">H24+I23</f>
        <v>612189.916666667</v>
      </c>
      <c r="J24" s="12" t="n">
        <f aca="false">I24+J23</f>
        <v>596205.416666667</v>
      </c>
      <c r="K24" s="12" t="n">
        <f aca="false">J24+K23</f>
        <v>583523.191666667</v>
      </c>
      <c r="L24" s="12" t="n">
        <f aca="false">K24+L23</f>
        <v>575514.966666667</v>
      </c>
      <c r="M24" s="12" t="n">
        <f aca="false">L24+M23</f>
        <v>571859.241666667</v>
      </c>
      <c r="N24" s="12" t="n">
        <f aca="false">M24+N23</f>
        <v>573201.50125</v>
      </c>
      <c r="O24" s="12" t="n">
        <f aca="false">N24+O23</f>
        <v>580829.344166667</v>
      </c>
      <c r="P24" s="12" t="n">
        <f aca="false">O24+P23</f>
        <v>594417.187083334</v>
      </c>
      <c r="Q24" s="12" t="n">
        <f aca="false">P24+Q23</f>
        <v>611958.059645833</v>
      </c>
      <c r="R24" s="12" t="n">
        <f aca="false">Q24+R23</f>
        <v>634976.682208333</v>
      </c>
      <c r="S24" s="12" t="n">
        <f aca="false">R24+S23</f>
        <v>663155.638104167</v>
      </c>
      <c r="T24" s="12" t="n">
        <f aca="false">S24+T23</f>
        <v>698422.229294792</v>
      </c>
      <c r="U24" s="12" t="n">
        <f aca="false">T24+U23</f>
        <v>742068.237152083</v>
      </c>
      <c r="V24" s="12" t="n">
        <f aca="false">U24+V23</f>
        <v>793772.161676042</v>
      </c>
      <c r="W24" s="12" t="n">
        <f aca="false">V24+W23</f>
        <v>851189.019926198</v>
      </c>
      <c r="X24" s="12" t="n">
        <f aca="false">W24+X23</f>
        <v>915635.961509688</v>
      </c>
      <c r="Y24" s="12" t="n">
        <f aca="false">X24+Y23</f>
        <v>986800.569759844</v>
      </c>
      <c r="Z24" s="12" t="n">
        <f aca="false">Y24+Z23</f>
        <v>1066313.30842251</v>
      </c>
      <c r="AA24" s="12" t="n">
        <f aca="false">Z24+AA23</f>
        <v>1155511.13041851</v>
      </c>
      <c r="AB24" s="12" t="n">
        <f aca="false">AA24+AB23</f>
        <v>1253918.61908117</v>
      </c>
      <c r="AC24" s="12" t="n">
        <f aca="false">AB24+AC23</f>
        <v>1359018.94467697</v>
      </c>
      <c r="AD24" s="12" t="n">
        <f aca="false">AC24+AD23</f>
        <v>1472394.43693943</v>
      </c>
      <c r="AE24" s="12" t="n">
        <f aca="false">AD24+AE23</f>
        <v>1593733.59586856</v>
      </c>
      <c r="AF24" s="12" t="n">
        <f aca="false">AE24+AF23</f>
        <v>1720412.82524415</v>
      </c>
      <c r="AG24" s="12" t="n">
        <f aca="false">AF24+AG23</f>
        <v>1854276.9712864</v>
      </c>
      <c r="AH24" s="12" t="n">
        <f aca="false">AG24+AH23</f>
        <v>1995010.45066199</v>
      </c>
      <c r="AI24" s="12" t="n">
        <f aca="false">AH24+AI23</f>
        <v>2139881.84983969</v>
      </c>
      <c r="AJ24" s="12" t="n">
        <f aca="false">AI24+AJ23</f>
        <v>2290843.83235072</v>
      </c>
      <c r="AK24" s="12" t="n">
        <f aca="false">AJ24+AK23</f>
        <v>2447584.89819509</v>
      </c>
    </row>
    <row r="25" customFormat="false" ht="15" hidden="false" customHeight="true" outlineLevel="0" collapsed="false">
      <c r="A25" s="6" t="s">
        <v>114</v>
      </c>
      <c r="B25" s="6" t="str">
        <f aca="false">IF(B23&gt;0,"YES","NO")</f>
        <v>NO</v>
      </c>
      <c r="C25" s="6" t="str">
        <f aca="false">IF(C23&gt;0,"YES","NO")</f>
        <v>NO</v>
      </c>
      <c r="D25" s="6" t="str">
        <f aca="false">IF(D23&gt;0,"YES","NO")</f>
        <v>NO</v>
      </c>
      <c r="E25" s="6" t="str">
        <f aca="false">IF(E23&gt;0,"YES","NO")</f>
        <v>NO</v>
      </c>
      <c r="F25" s="6" t="str">
        <f aca="false">IF(F23&gt;0,"YES","NO")</f>
        <v>NO</v>
      </c>
      <c r="G25" s="6" t="str">
        <f aca="false">IF(G23&gt;0,"YES","NO")</f>
        <v>NO</v>
      </c>
      <c r="H25" s="6" t="str">
        <f aca="false">IF(H23&gt;0,"YES","NO")</f>
        <v>NO</v>
      </c>
      <c r="I25" s="6" t="str">
        <f aca="false">IF(I23&gt;0,"YES","NO")</f>
        <v>NO</v>
      </c>
      <c r="J25" s="6" t="str">
        <f aca="false">IF(J23&gt;0,"YES","NO")</f>
        <v>NO</v>
      </c>
      <c r="K25" s="6" t="str">
        <f aca="false">IF(K23&gt;0,"YES","NO")</f>
        <v>NO</v>
      </c>
      <c r="L25" s="6" t="str">
        <f aca="false">IF(L23&gt;0,"YES","NO")</f>
        <v>NO</v>
      </c>
      <c r="M25" s="6" t="str">
        <f aca="false">IF(M23&gt;0,"YES","NO")</f>
        <v>NO</v>
      </c>
      <c r="N25" s="6" t="str">
        <f aca="false">IF(N23&gt;0,"YES","NO")</f>
        <v>YES</v>
      </c>
      <c r="O25" s="6" t="str">
        <f aca="false">IF(O23&gt;0,"YES","NO")</f>
        <v>YES</v>
      </c>
      <c r="P25" s="6" t="str">
        <f aca="false">IF(P23&gt;0,"YES","NO")</f>
        <v>YES</v>
      </c>
      <c r="Q25" s="6" t="str">
        <f aca="false">IF(Q23&gt;0,"YES","NO")</f>
        <v>YES</v>
      </c>
      <c r="R25" s="6" t="str">
        <f aca="false">IF(R23&gt;0,"YES","NO")</f>
        <v>YES</v>
      </c>
      <c r="S25" s="6" t="str">
        <f aca="false">IF(S23&gt;0,"YES","NO")</f>
        <v>YES</v>
      </c>
      <c r="T25" s="6" t="str">
        <f aca="false">IF(T23&gt;0,"YES","NO")</f>
        <v>YES</v>
      </c>
      <c r="U25" s="6" t="str">
        <f aca="false">IF(U23&gt;0,"YES","NO")</f>
        <v>YES</v>
      </c>
      <c r="V25" s="6" t="str">
        <f aca="false">IF(V23&gt;0,"YES","NO")</f>
        <v>YES</v>
      </c>
      <c r="W25" s="6" t="str">
        <f aca="false">IF(W23&gt;0,"YES","NO")</f>
        <v>YES</v>
      </c>
      <c r="X25" s="6" t="str">
        <f aca="false">IF(X23&gt;0,"YES","NO")</f>
        <v>YES</v>
      </c>
      <c r="Y25" s="6" t="str">
        <f aca="false">IF(Y23&gt;0,"YES","NO")</f>
        <v>YES</v>
      </c>
      <c r="Z25" s="6" t="str">
        <f aca="false">IF(Z23&gt;0,"YES","NO")</f>
        <v>YES</v>
      </c>
      <c r="AA25" s="6" t="str">
        <f aca="false">IF(AA23&gt;0,"YES","NO")</f>
        <v>YES</v>
      </c>
      <c r="AB25" s="6" t="str">
        <f aca="false">IF(AB23&gt;0,"YES","NO")</f>
        <v>YES</v>
      </c>
      <c r="AC25" s="6" t="str">
        <f aca="false">IF(AC23&gt;0,"YES","NO")</f>
        <v>YES</v>
      </c>
      <c r="AD25" s="6" t="str">
        <f aca="false">IF(AD23&gt;0,"YES","NO")</f>
        <v>YES</v>
      </c>
      <c r="AE25" s="6" t="str">
        <f aca="false">IF(AE23&gt;0,"YES","NO")</f>
        <v>YES</v>
      </c>
      <c r="AF25" s="6" t="str">
        <f aca="false">IF(AF23&gt;0,"YES","NO")</f>
        <v>YES</v>
      </c>
      <c r="AG25" s="6" t="str">
        <f aca="false">IF(AG23&gt;0,"YES","NO")</f>
        <v>YES</v>
      </c>
      <c r="AH25" s="6" t="str">
        <f aca="false">IF(AH23&gt;0,"YES","NO")</f>
        <v>YES</v>
      </c>
      <c r="AI25" s="6" t="str">
        <f aca="false">IF(AI23&gt;0,"YES","NO")</f>
        <v>YES</v>
      </c>
      <c r="AJ25" s="6" t="str">
        <f aca="false">IF(AJ23&gt;0,"YES","NO")</f>
        <v>YES</v>
      </c>
      <c r="AK25" s="6" t="str">
        <f aca="false">IF(AK23&gt;0,"YES","NO")</f>
        <v>YES</v>
      </c>
    </row>
    <row r="27" customFormat="false" ht="15" hidden="false" customHeight="true" outlineLevel="0" collapsed="false">
      <c r="A27" s="5" t="s">
        <v>115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customFormat="false" ht="15" hidden="false" customHeight="true" outlineLevel="0" collapsed="false">
      <c r="A28" s="6" t="s">
        <v>116</v>
      </c>
      <c r="B28" s="10" t="n">
        <f aca="false">B12</f>
        <v>763.75</v>
      </c>
      <c r="C28" s="10" t="n">
        <f aca="false">C12</f>
        <v>1527.5</v>
      </c>
      <c r="D28" s="10" t="n">
        <f aca="false">D12</f>
        <v>2138.5</v>
      </c>
      <c r="E28" s="10" t="n">
        <f aca="false">E12</f>
        <v>3513.25</v>
      </c>
      <c r="F28" s="10" t="n">
        <f aca="false">F12</f>
        <v>4888</v>
      </c>
      <c r="G28" s="10" t="n">
        <f aca="false">G12</f>
        <v>6110</v>
      </c>
      <c r="H28" s="10" t="n">
        <f aca="false">H12</f>
        <v>8859.5</v>
      </c>
      <c r="I28" s="10" t="n">
        <f aca="false">I12</f>
        <v>11456.25</v>
      </c>
      <c r="J28" s="10" t="n">
        <f aca="false">J12</f>
        <v>13900.25</v>
      </c>
      <c r="K28" s="10" t="n">
        <f aca="false">K12</f>
        <v>18482.75</v>
      </c>
      <c r="L28" s="10" t="n">
        <f aca="false">L12</f>
        <v>22912.5</v>
      </c>
      <c r="M28" s="10" t="n">
        <f aca="false">M12</f>
        <v>27036.75</v>
      </c>
      <c r="N28" s="10" t="n">
        <f aca="false">N12</f>
        <v>33299.5</v>
      </c>
      <c r="O28" s="10" t="n">
        <f aca="false">O12</f>
        <v>39256.75</v>
      </c>
      <c r="P28" s="10" t="n">
        <f aca="false">P12</f>
        <v>44908.5</v>
      </c>
      <c r="Q28" s="10" t="n">
        <f aca="false">Q12</f>
        <v>50254.75</v>
      </c>
      <c r="R28" s="10" t="n">
        <f aca="false">R12</f>
        <v>55448.25</v>
      </c>
      <c r="S28" s="10" t="n">
        <f aca="false">S12</f>
        <v>60336.25</v>
      </c>
      <c r="T28" s="10" t="n">
        <f aca="false">T12</f>
        <v>68737.5</v>
      </c>
      <c r="U28" s="10" t="n">
        <f aca="false">U12</f>
        <v>76680.5</v>
      </c>
      <c r="V28" s="10" t="n">
        <f aca="false">V12</f>
        <v>84318</v>
      </c>
      <c r="W28" s="10" t="n">
        <f aca="false">W12</f>
        <v>91497.25</v>
      </c>
      <c r="X28" s="10" t="n">
        <f aca="false">X12</f>
        <v>98371</v>
      </c>
      <c r="Y28" s="10" t="n">
        <f aca="false">Y12</f>
        <v>104939.25</v>
      </c>
      <c r="Z28" s="10" t="n">
        <f aca="false">Z12</f>
        <v>115020.75</v>
      </c>
      <c r="AA28" s="10" t="n">
        <f aca="false">AA12</f>
        <v>124491.25</v>
      </c>
      <c r="AB28" s="10" t="n">
        <f aca="false">AB12</f>
        <v>133503.5</v>
      </c>
      <c r="AC28" s="10" t="n">
        <f aca="false">AC12</f>
        <v>142057.5</v>
      </c>
      <c r="AD28" s="10" t="n">
        <f aca="false">AD12</f>
        <v>150153.25</v>
      </c>
      <c r="AE28" s="10" t="n">
        <f aca="false">AE12</f>
        <v>157943.5</v>
      </c>
      <c r="AF28" s="10" t="n">
        <f aca="false">AF12</f>
        <v>165275.5</v>
      </c>
      <c r="AG28" s="10" t="n">
        <f aca="false">AG12</f>
        <v>172302</v>
      </c>
      <c r="AH28" s="10" t="n">
        <f aca="false">AH12</f>
        <v>179023</v>
      </c>
      <c r="AI28" s="10" t="n">
        <f aca="false">AI12</f>
        <v>185285.75</v>
      </c>
      <c r="AJ28" s="10" t="n">
        <f aca="false">AJ12</f>
        <v>191243</v>
      </c>
      <c r="AK28" s="10" t="n">
        <f aca="false">AK12</f>
        <v>196894.75</v>
      </c>
    </row>
    <row r="29" customFormat="false" ht="15" hidden="false" customHeight="true" outlineLevel="0" collapsed="false">
      <c r="A29" s="11" t="s">
        <v>117</v>
      </c>
      <c r="B29" s="12" t="n">
        <f aca="false">B15*12</f>
        <v>9694</v>
      </c>
      <c r="C29" s="12" t="n">
        <f aca="false">C15*12</f>
        <v>19339</v>
      </c>
      <c r="D29" s="12" t="n">
        <f aca="false">D15*12</f>
        <v>27055</v>
      </c>
      <c r="E29" s="12" t="n">
        <f aca="false">E15*12</f>
        <v>44465</v>
      </c>
      <c r="F29" s="12" t="n">
        <f aca="false">F15*12</f>
        <v>61875</v>
      </c>
      <c r="G29" s="12" t="n">
        <f aca="false">G15*12</f>
        <v>77356</v>
      </c>
      <c r="H29" s="12" t="n">
        <f aca="false">H15*12</f>
        <v>112176</v>
      </c>
      <c r="I29" s="12" t="n">
        <f aca="false">I15*12</f>
        <v>145067</v>
      </c>
      <c r="J29" s="12" t="n">
        <f aca="false">J15*12</f>
        <v>175980</v>
      </c>
      <c r="K29" s="12" t="n">
        <f aca="false">K15*12</f>
        <v>233997</v>
      </c>
      <c r="L29" s="12" t="n">
        <f aca="false">L15*12</f>
        <v>290085</v>
      </c>
      <c r="M29" s="12" t="n">
        <f aca="false">M15*12</f>
        <v>342315</v>
      </c>
      <c r="N29" s="12" t="n">
        <f aca="false">N15*12</f>
        <v>421600</v>
      </c>
      <c r="O29" s="12" t="n">
        <f aca="false">O15*12</f>
        <v>497027</v>
      </c>
      <c r="P29" s="12" t="n">
        <f aca="false">P15*12</f>
        <v>568547</v>
      </c>
      <c r="Q29" s="12" t="n">
        <f aca="false">Q15*12</f>
        <v>636258</v>
      </c>
      <c r="R29" s="12" t="n">
        <f aca="false">R15*12</f>
        <v>701991</v>
      </c>
      <c r="S29" s="12" t="n">
        <f aca="false">S15*12</f>
        <v>763915</v>
      </c>
      <c r="T29" s="12" t="n">
        <f aca="false">T15*12</f>
        <v>870255</v>
      </c>
      <c r="U29" s="12" t="n">
        <f aca="false">U15*12</f>
        <v>970808</v>
      </c>
      <c r="V29" s="12" t="n">
        <f aca="false">V15*12</f>
        <v>1067503</v>
      </c>
      <c r="W29" s="12" t="n">
        <f aca="false">W15*12</f>
        <v>1158411</v>
      </c>
      <c r="X29" s="12" t="n">
        <f aca="false">X15*12</f>
        <v>1245412</v>
      </c>
      <c r="Y29" s="12" t="n">
        <f aca="false">Y15*12</f>
        <v>1328604</v>
      </c>
      <c r="Z29" s="12" t="n">
        <f aca="false">Z15*12</f>
        <v>1456212</v>
      </c>
      <c r="AA29" s="12" t="n">
        <f aca="false">AA15*12</f>
        <v>1576153</v>
      </c>
      <c r="AB29" s="12" t="n">
        <f aca="false">AB15*12</f>
        <v>1690209</v>
      </c>
      <c r="AC29" s="12" t="n">
        <f aca="false">AC15*12</f>
        <v>1798527</v>
      </c>
      <c r="AD29" s="12" t="n">
        <f aca="false">AD15*12</f>
        <v>1901009</v>
      </c>
      <c r="AE29" s="12" t="n">
        <f aca="false">AE15*12</f>
        <v>1999633</v>
      </c>
      <c r="AF29" s="12" t="n">
        <f aca="false">AF15*12</f>
        <v>2092470</v>
      </c>
      <c r="AG29" s="12" t="n">
        <f aca="false">AG15*12</f>
        <v>2181449</v>
      </c>
      <c r="AH29" s="12" t="n">
        <f aca="false">AH15*12</f>
        <v>2266521</v>
      </c>
      <c r="AI29" s="12" t="n">
        <f aca="false">AI15*12</f>
        <v>2345806</v>
      </c>
      <c r="AJ29" s="12" t="n">
        <f aca="false">AJ15*12</f>
        <v>2421233</v>
      </c>
      <c r="AK29" s="12" t="n">
        <f aca="false">AK15*12</f>
        <v>2492802</v>
      </c>
    </row>
    <row r="30" customFormat="false" ht="15" hidden="false" customHeight="true" outlineLevel="0" collapsed="false">
      <c r="A30" s="6" t="s">
        <v>118</v>
      </c>
      <c r="B30" s="6" t="n">
        <f aca="false">IF(B15=0,"-",B20/B15)</f>
        <v>34.4130389931917</v>
      </c>
      <c r="C30" s="6" t="n">
        <f aca="false">IF(C15=0,"-",C20/C15)</f>
        <v>17.2501163452092</v>
      </c>
      <c r="D30" s="6" t="n">
        <f aca="false">IF(D15=0,"-",D20/D15)</f>
        <v>12.3304379966734</v>
      </c>
      <c r="E30" s="6" t="n">
        <f aca="false">IF(E15=0,"-",E20/E15)</f>
        <v>7.87765658382998</v>
      </c>
      <c r="F30" s="6" t="n">
        <f aca="false">IF(F15=0,"-",F20/F15)</f>
        <v>5.66109090909091</v>
      </c>
      <c r="G30" s="6" t="n">
        <f aca="false">IF(G15=0,"-",G20/G15)</f>
        <v>4.52815554061741</v>
      </c>
      <c r="H30" s="6" t="n">
        <f aca="false">IF(H15=0,"-",H20/H15)</f>
        <v>3.27872272143774</v>
      </c>
      <c r="I30" s="6" t="n">
        <f aca="false">IF(I15=0,"-",I20/I15)</f>
        <v>2.53533884343097</v>
      </c>
      <c r="J30" s="6" t="n">
        <f aca="false">IF(J15=0,"-",J20/J15)</f>
        <v>2.08997613365155</v>
      </c>
      <c r="K30" s="6" t="n">
        <f aca="false">IF(K15=0,"-",K20/K15)</f>
        <v>1.65037885101091</v>
      </c>
      <c r="L30" s="6" t="n">
        <f aca="false">IF(L15=0,"-",L20/L15)</f>
        <v>1.33127772894152</v>
      </c>
      <c r="M30" s="6" t="n">
        <f aca="false">IF(M15=0,"-",M20/M15)</f>
        <v>1.12815301695807</v>
      </c>
      <c r="N30" s="6" t="n">
        <f aca="false">IF(N15=0,"-",N20/N15)</f>
        <v>0.961795268026566</v>
      </c>
      <c r="O30" s="6" t="n">
        <f aca="false">IF(O15=0,"-",O20/O15)</f>
        <v>0.815836735227664</v>
      </c>
      <c r="P30" s="6" t="n">
        <f aca="false">IF(P15=0,"-",P20/P15)</f>
        <v>0.713209083857623</v>
      </c>
      <c r="Q30" s="6" t="n">
        <f aca="false">IF(Q15=0,"-",Q20/Q15)</f>
        <v>0.66917434319097</v>
      </c>
      <c r="R30" s="6" t="n">
        <f aca="false">IF(R15=0,"-",R20/R15)</f>
        <v>0.60651422774651</v>
      </c>
      <c r="S30" s="6" t="n">
        <f aca="false">IF(S15=0,"-",S20/S15)</f>
        <v>0.557349350713103</v>
      </c>
      <c r="T30" s="6" t="n">
        <f aca="false">IF(T15=0,"-",T20/T15)</f>
        <v>0.513706793655308</v>
      </c>
      <c r="U30" s="6" t="n">
        <f aca="false">IF(U15=0,"-",U20/U15)</f>
        <v>0.460498786281634</v>
      </c>
      <c r="V30" s="6" t="n">
        <f aca="false">IF(V15=0,"-",V20/V15)</f>
        <v>0.418786556770801</v>
      </c>
      <c r="W30" s="6" t="n">
        <f aca="false">IF(W15=0,"-",W20/W15)</f>
        <v>0.405217751728985</v>
      </c>
      <c r="X30" s="6" t="n">
        <f aca="false">IF(X15=0,"-",X20/X15)</f>
        <v>0.379030153072337</v>
      </c>
      <c r="Y30" s="6" t="n">
        <f aca="false">IF(Y15=0,"-",Y20/Y15)</f>
        <v>0.357238651244558</v>
      </c>
      <c r="Z30" s="6" t="n">
        <f aca="false">IF(Z15=0,"-",Z20/Z15)</f>
        <v>0.344770635077881</v>
      </c>
      <c r="AA30" s="6" t="n">
        <f aca="false">IF(AA15=0,"-",AA20/AA15)</f>
        <v>0.320894694898294</v>
      </c>
      <c r="AB30" s="6" t="n">
        <f aca="false">IF(AB15=0,"-",AB20/AB15)</f>
        <v>0.301335004161042</v>
      </c>
      <c r="AC30" s="6" t="n">
        <f aca="false">IF(AC15=0,"-",AC20/AC15)</f>
        <v>0.298757312428689</v>
      </c>
      <c r="AD30" s="6" t="n">
        <f aca="false">IF(AD15=0,"-",AD20/AD15)</f>
        <v>0.284324320847736</v>
      </c>
      <c r="AE30" s="6" t="n">
        <f aca="false">IF(AE15=0,"-",AE20/AE15)</f>
        <v>0.271831427492161</v>
      </c>
      <c r="AF30" s="6" t="n">
        <f aca="false">IF(AF15=0,"-",AF20/AF15)</f>
        <v>0.273513717039171</v>
      </c>
      <c r="AG30" s="6" t="n">
        <f aca="false">IF(AG15=0,"-",AG20/AG15)</f>
        <v>0.263622595574297</v>
      </c>
      <c r="AH30" s="6" t="n">
        <f aca="false">IF(AH15=0,"-",AH20/AH15)</f>
        <v>0.25489251919261</v>
      </c>
      <c r="AI30" s="6" t="n">
        <f aca="false">IF(AI15=0,"-",AI20/AI15)</f>
        <v>0.2589085414001</v>
      </c>
      <c r="AJ30" s="6" t="n">
        <f aca="false">IF(AJ15=0,"-",AJ20/AJ15)</f>
        <v>0.251809392102124</v>
      </c>
      <c r="AK30" s="6" t="n">
        <f aca="false">IF(AK15=0,"-",AK20/AK15)</f>
        <v>0.245470442444928</v>
      </c>
    </row>
    <row r="31" customFormat="false" ht="15" hidden="false" customHeight="true" outlineLevel="0" collapsed="false">
      <c r="A31" s="6" t="s">
        <v>119</v>
      </c>
      <c r="B31" s="10" t="n">
        <f aca="false">IF(B23&gt;=0,"∞",B24/(-B23))</f>
        <v>28.7508536427235</v>
      </c>
      <c r="C31" s="10" t="n">
        <f aca="false">IF(C23&gt;=0,"∞",C24/(-C23))</f>
        <v>28.6332475235553</v>
      </c>
      <c r="D31" s="10" t="n">
        <f aca="false">IF(D23&gt;=0,"∞",D24/(-D23))</f>
        <v>28.3539708688773</v>
      </c>
      <c r="E31" s="10" t="n">
        <f aca="false">IF(E23&gt;=0,"∞",E24/(-E23))</f>
        <v>27.4216536141131</v>
      </c>
      <c r="F31" s="10" t="n">
        <f aca="false">IF(F23&gt;=0,"∞",F24/(-F23))</f>
        <v>28.0770028258872</v>
      </c>
      <c r="G31" s="10" t="n">
        <f aca="false">IF(G23&gt;=0,"∞",G24/(-G23))</f>
        <v>28.6696076563439</v>
      </c>
      <c r="H31" s="10" t="n">
        <f aca="false">IF(H23&gt;=0,"∞",H24/(-H23))</f>
        <v>29.61061427599</v>
      </c>
      <c r="I31" s="10" t="n">
        <f aca="false">IF(I23&gt;=0,"∞",I24/(-I23))</f>
        <v>32.9833338571435</v>
      </c>
      <c r="J31" s="10" t="n">
        <f aca="false">IF(J23&gt;=0,"∞",J24/(-J23))</f>
        <v>37.2989719207149</v>
      </c>
      <c r="K31" s="10" t="n">
        <f aca="false">IF(K23&gt;=0,"∞",K24/(-K23))</f>
        <v>46.0111054382545</v>
      </c>
      <c r="L31" s="10" t="n">
        <f aca="false">IF(L23&gt;=0,"∞",L24/(-L23))</f>
        <v>71.8654841324596</v>
      </c>
      <c r="M31" s="10" t="n">
        <f aca="false">IF(M23&gt;=0,"∞",M24/(-M23))</f>
        <v>156.428407953735</v>
      </c>
      <c r="N31" s="6" t="str">
        <f aca="false">IF(N23&gt;=0,"∞",N24/(-N23))</f>
        <v>∞</v>
      </c>
      <c r="O31" s="6" t="str">
        <f aca="false">IF(O23&gt;=0,"∞",O24/(-O23))</f>
        <v>∞</v>
      </c>
      <c r="P31" s="6" t="str">
        <f aca="false">IF(P23&gt;=0,"∞",P24/(-P23))</f>
        <v>∞</v>
      </c>
      <c r="Q31" s="6" t="str">
        <f aca="false">IF(Q23&gt;=0,"∞",Q24/(-Q23))</f>
        <v>∞</v>
      </c>
      <c r="R31" s="6" t="str">
        <f aca="false">IF(R23&gt;=0,"∞",R24/(-R23))</f>
        <v>∞</v>
      </c>
      <c r="S31" s="6" t="str">
        <f aca="false">IF(S23&gt;=0,"∞",S24/(-S23))</f>
        <v>∞</v>
      </c>
      <c r="T31" s="6" t="str">
        <f aca="false">IF(T23&gt;=0,"∞",T24/(-T23))</f>
        <v>∞</v>
      </c>
      <c r="U31" s="6" t="str">
        <f aca="false">IF(U23&gt;=0,"∞",U24/(-U23))</f>
        <v>∞</v>
      </c>
      <c r="V31" s="6" t="str">
        <f aca="false">IF(V23&gt;=0,"∞",V24/(-V23))</f>
        <v>∞</v>
      </c>
      <c r="W31" s="6" t="str">
        <f aca="false">IF(W23&gt;=0,"∞",W24/(-W23))</f>
        <v>∞</v>
      </c>
      <c r="X31" s="6" t="str">
        <f aca="false">IF(X23&gt;=0,"∞",X24/(-X23))</f>
        <v>∞</v>
      </c>
      <c r="Y31" s="6" t="str">
        <f aca="false">IF(Y23&gt;=0,"∞",Y24/(-Y23))</f>
        <v>∞</v>
      </c>
      <c r="Z31" s="6" t="str">
        <f aca="false">IF(Z23&gt;=0,"∞",Z24/(-Z23))</f>
        <v>∞</v>
      </c>
      <c r="AA31" s="6" t="str">
        <f aca="false">IF(AA23&gt;=0,"∞",AA24/(-AA23))</f>
        <v>∞</v>
      </c>
      <c r="AB31" s="6" t="str">
        <f aca="false">IF(AB23&gt;=0,"∞",AB24/(-AB23))</f>
        <v>∞</v>
      </c>
      <c r="AC31" s="6" t="str">
        <f aca="false">IF(AC23&gt;=0,"∞",AC24/(-AC23))</f>
        <v>∞</v>
      </c>
      <c r="AD31" s="6" t="str">
        <f aca="false">IF(AD23&gt;=0,"∞",AD24/(-AD23))</f>
        <v>∞</v>
      </c>
      <c r="AE31" s="6" t="str">
        <f aca="false">IF(AE23&gt;=0,"∞",AE24/(-AE23))</f>
        <v>∞</v>
      </c>
      <c r="AF31" s="6" t="str">
        <f aca="false">IF(AF23&gt;=0,"∞",AF24/(-AF23))</f>
        <v>∞</v>
      </c>
      <c r="AG31" s="6" t="str">
        <f aca="false">IF(AG23&gt;=0,"∞",AG24/(-AG23))</f>
        <v>∞</v>
      </c>
      <c r="AH31" s="6" t="str">
        <f aca="false">IF(AH23&gt;=0,"∞",AH24/(-AH23))</f>
        <v>∞</v>
      </c>
      <c r="AI31" s="6" t="str">
        <f aca="false">IF(AI23&gt;=0,"∞",AI24/(-AI23))</f>
        <v>∞</v>
      </c>
      <c r="AJ31" s="6" t="str">
        <f aca="false">IF(AJ23&gt;=0,"∞",AJ24/(-AJ23))</f>
        <v>∞</v>
      </c>
      <c r="AK31" s="6" t="str">
        <f aca="false">IF(AK23&gt;=0,"∞",AK24/(-AK23))</f>
        <v>∞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761"/>
    <pageSetUpPr fitToPage="false"/>
  </sheetPr>
  <dimension ref="A1:A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7" min="2" style="1" width="12"/>
  </cols>
  <sheetData>
    <row r="1" customFormat="false" ht="17.25" hidden="false" customHeight="true" outlineLevel="0" collapsed="false">
      <c r="A1" s="16" t="s">
        <v>121</v>
      </c>
    </row>
    <row r="2" customFormat="false" ht="15" hidden="false" customHeight="true" outlineLevel="0" collapsed="false">
      <c r="A2" s="8" t="s">
        <v>60</v>
      </c>
    </row>
    <row r="4" customFormat="false" ht="15" hidden="false" customHeight="true" outlineLevel="0" collapsed="false">
      <c r="A4" s="17"/>
      <c r="B4" s="18" t="s">
        <v>61</v>
      </c>
      <c r="C4" s="18" t="s">
        <v>62</v>
      </c>
      <c r="D4" s="18" t="s">
        <v>63</v>
      </c>
      <c r="E4" s="18" t="s">
        <v>64</v>
      </c>
      <c r="F4" s="18" t="s">
        <v>65</v>
      </c>
      <c r="G4" s="18" t="s">
        <v>66</v>
      </c>
      <c r="H4" s="18" t="s">
        <v>67</v>
      </c>
      <c r="I4" s="18" t="s">
        <v>68</v>
      </c>
      <c r="J4" s="18" t="s">
        <v>69</v>
      </c>
      <c r="K4" s="18" t="s">
        <v>70</v>
      </c>
      <c r="L4" s="18" t="s">
        <v>71</v>
      </c>
      <c r="M4" s="18" t="s">
        <v>72</v>
      </c>
      <c r="N4" s="18" t="s">
        <v>73</v>
      </c>
      <c r="O4" s="18" t="s">
        <v>74</v>
      </c>
      <c r="P4" s="18" t="s">
        <v>75</v>
      </c>
      <c r="Q4" s="18" t="s">
        <v>76</v>
      </c>
      <c r="R4" s="18" t="s">
        <v>77</v>
      </c>
      <c r="S4" s="18" t="s">
        <v>78</v>
      </c>
      <c r="T4" s="18" t="s">
        <v>79</v>
      </c>
      <c r="U4" s="18" t="s">
        <v>80</v>
      </c>
      <c r="V4" s="18" t="s">
        <v>81</v>
      </c>
      <c r="W4" s="18" t="s">
        <v>82</v>
      </c>
      <c r="X4" s="18" t="s">
        <v>83</v>
      </c>
      <c r="Y4" s="18" t="s">
        <v>84</v>
      </c>
      <c r="Z4" s="18" t="s">
        <v>85</v>
      </c>
      <c r="AA4" s="18" t="s">
        <v>86</v>
      </c>
      <c r="AB4" s="18" t="s">
        <v>87</v>
      </c>
      <c r="AC4" s="18" t="s">
        <v>88</v>
      </c>
      <c r="AD4" s="18" t="s">
        <v>89</v>
      </c>
      <c r="AE4" s="18" t="s">
        <v>90</v>
      </c>
      <c r="AF4" s="18" t="s">
        <v>91</v>
      </c>
      <c r="AG4" s="18" t="s">
        <v>92</v>
      </c>
      <c r="AH4" s="18" t="s">
        <v>93</v>
      </c>
      <c r="AI4" s="18" t="s">
        <v>94</v>
      </c>
      <c r="AJ4" s="18" t="s">
        <v>95</v>
      </c>
      <c r="AK4" s="18" t="s">
        <v>96</v>
      </c>
    </row>
    <row r="5" customFormat="false" ht="15" hidden="false" customHeight="true" outlineLevel="0" collapsed="false">
      <c r="A5" s="5" t="s">
        <v>97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customFormat="false" ht="15" hidden="false" customHeight="true" outlineLevel="0" collapsed="false">
      <c r="A6" s="6" t="s">
        <v>98</v>
      </c>
      <c r="B6" s="19" t="n">
        <v>10</v>
      </c>
      <c r="C6" s="19" t="n">
        <v>10</v>
      </c>
      <c r="D6" s="19" t="n">
        <v>10</v>
      </c>
      <c r="E6" s="19" t="n">
        <v>25</v>
      </c>
      <c r="F6" s="19" t="n">
        <v>25</v>
      </c>
      <c r="G6" s="19" t="n">
        <v>25</v>
      </c>
      <c r="H6" s="19" t="n">
        <v>50</v>
      </c>
      <c r="I6" s="19" t="n">
        <v>50</v>
      </c>
      <c r="J6" s="19" t="n">
        <v>50</v>
      </c>
      <c r="K6" s="19" t="n">
        <v>80</v>
      </c>
      <c r="L6" s="19" t="n">
        <v>80</v>
      </c>
      <c r="M6" s="19" t="n">
        <v>80</v>
      </c>
      <c r="N6" s="19" t="n">
        <v>120</v>
      </c>
      <c r="O6" s="19" t="n">
        <v>120</v>
      </c>
      <c r="P6" s="19" t="n">
        <v>120</v>
      </c>
      <c r="Q6" s="19" t="n">
        <v>120</v>
      </c>
      <c r="R6" s="19" t="n">
        <v>120</v>
      </c>
      <c r="S6" s="19" t="n">
        <v>120</v>
      </c>
      <c r="T6" s="19" t="n">
        <v>175</v>
      </c>
      <c r="U6" s="19" t="n">
        <v>175</v>
      </c>
      <c r="V6" s="19" t="n">
        <v>175</v>
      </c>
      <c r="W6" s="19" t="n">
        <v>175</v>
      </c>
      <c r="X6" s="19" t="n">
        <v>175</v>
      </c>
      <c r="Y6" s="19" t="n">
        <v>175</v>
      </c>
      <c r="Z6" s="19" t="n">
        <v>250</v>
      </c>
      <c r="AA6" s="19" t="n">
        <v>250</v>
      </c>
      <c r="AB6" s="19" t="n">
        <v>250</v>
      </c>
      <c r="AC6" s="19" t="n">
        <v>250</v>
      </c>
      <c r="AD6" s="19" t="n">
        <v>250</v>
      </c>
      <c r="AE6" s="19" t="n">
        <v>250</v>
      </c>
      <c r="AF6" s="19" t="n">
        <v>250</v>
      </c>
      <c r="AG6" s="19" t="n">
        <v>250</v>
      </c>
      <c r="AH6" s="19" t="n">
        <v>250</v>
      </c>
      <c r="AI6" s="19" t="n">
        <v>250</v>
      </c>
      <c r="AJ6" s="19" t="n">
        <v>250</v>
      </c>
      <c r="AK6" s="19" t="n">
        <v>250</v>
      </c>
    </row>
    <row r="7" customFormat="false" ht="15" hidden="false" customHeight="true" outlineLevel="0" collapsed="false">
      <c r="A7" s="6" t="s">
        <v>99</v>
      </c>
      <c r="B7" s="20" t="n">
        <v>0</v>
      </c>
      <c r="C7" s="20" t="n">
        <f aca="false">-ROUND(B9*Assumptions!$B$29,0)</f>
        <v>-1</v>
      </c>
      <c r="D7" s="20" t="n">
        <f aca="false">-ROUND(C9*Assumptions!$B$29,0)</f>
        <v>-1</v>
      </c>
      <c r="E7" s="20" t="n">
        <f aca="false">-ROUND(D9*Assumptions!$B$29,0)</f>
        <v>-1</v>
      </c>
      <c r="F7" s="20" t="n">
        <f aca="false">-ROUND(E9*Assumptions!$B$29,0)</f>
        <v>-3</v>
      </c>
      <c r="G7" s="20" t="n">
        <f aca="false">-ROUND(F9*Assumptions!$B$29,0)</f>
        <v>-4</v>
      </c>
      <c r="H7" s="20" t="n">
        <f aca="false">-ROUND(G9*Assumptions!$B$29,0)</f>
        <v>-5</v>
      </c>
      <c r="I7" s="20" t="n">
        <f aca="false">-ROUND(H9*Assumptions!$B$29,0)</f>
        <v>-7</v>
      </c>
      <c r="J7" s="20" t="n">
        <f aca="false">-ROUND(I9*Assumptions!$B$29,0)</f>
        <v>-9</v>
      </c>
      <c r="K7" s="20" t="n">
        <f aca="false">-ROUND(J9*Assumptions!$B$29,0)</f>
        <v>-11</v>
      </c>
      <c r="L7" s="20" t="n">
        <f aca="false">-ROUND(K9*Assumptions!$B$29,0)</f>
        <v>-15</v>
      </c>
      <c r="M7" s="20" t="n">
        <f aca="false">-ROUND(L9*Assumptions!$B$29,0)</f>
        <v>-18</v>
      </c>
      <c r="N7" s="20" t="n">
        <f aca="false">-ROUND(M9*Assumptions!$B$29,0)</f>
        <v>-21</v>
      </c>
      <c r="O7" s="20" t="n">
        <f aca="false">-ROUND(N9*Assumptions!$B$29,0)</f>
        <v>-26</v>
      </c>
      <c r="P7" s="20" t="n">
        <f aca="false">-ROUND(O9*Assumptions!$B$29,0)</f>
        <v>-31</v>
      </c>
      <c r="Q7" s="20" t="n">
        <f aca="false">-ROUND(P9*Assumptions!$B$29,0)</f>
        <v>-35</v>
      </c>
      <c r="R7" s="20" t="n">
        <f aca="false">-ROUND(Q9*Assumptions!$B$29,0)</f>
        <v>-39</v>
      </c>
      <c r="S7" s="20" t="n">
        <f aca="false">-ROUND(R9*Assumptions!$B$29,0)</f>
        <v>-43</v>
      </c>
      <c r="T7" s="20" t="n">
        <f aca="false">-ROUND(S9*Assumptions!$B$29,0)</f>
        <v>-47</v>
      </c>
      <c r="U7" s="20" t="n">
        <f aca="false">-ROUND(T9*Assumptions!$B$29,0)</f>
        <v>-54</v>
      </c>
      <c r="V7" s="20" t="n">
        <f aca="false">-ROUND(U9*Assumptions!$B$29,0)</f>
        <v>-60</v>
      </c>
      <c r="W7" s="20" t="n">
        <f aca="false">-ROUND(V9*Assumptions!$B$29,0)</f>
        <v>-65</v>
      </c>
      <c r="X7" s="20" t="n">
        <f aca="false">-ROUND(W9*Assumptions!$B$29,0)</f>
        <v>-71</v>
      </c>
      <c r="Y7" s="20" t="n">
        <f aca="false">-ROUND(X9*Assumptions!$B$29,0)</f>
        <v>-76</v>
      </c>
      <c r="Z7" s="20" t="n">
        <f aca="false">-ROUND(Y9*Assumptions!$B$29,0)</f>
        <v>-81</v>
      </c>
      <c r="AA7" s="20" t="n">
        <f aca="false">-ROUND(Z9*Assumptions!$B$29,0)</f>
        <v>-90</v>
      </c>
      <c r="AB7" s="20" t="n">
        <f aca="false">-ROUND(AA9*Assumptions!$B$29,0)</f>
        <v>-98</v>
      </c>
      <c r="AC7" s="20" t="n">
        <f aca="false">-ROUND(AB9*Assumptions!$B$29,0)</f>
        <v>-105</v>
      </c>
      <c r="AD7" s="20" t="n">
        <f aca="false">-ROUND(AC9*Assumptions!$B$29,0)</f>
        <v>-112</v>
      </c>
      <c r="AE7" s="20" t="n">
        <f aca="false">-ROUND(AD9*Assumptions!$B$29,0)</f>
        <v>-119</v>
      </c>
      <c r="AF7" s="20" t="n">
        <f aca="false">-ROUND(AE9*Assumptions!$B$29,0)</f>
        <v>-126</v>
      </c>
      <c r="AG7" s="20" t="n">
        <f aca="false">-ROUND(AF9*Assumptions!$B$29,0)</f>
        <v>-132</v>
      </c>
      <c r="AH7" s="20" t="n">
        <f aca="false">-ROUND(AG9*Assumptions!$B$29,0)</f>
        <v>-138</v>
      </c>
      <c r="AI7" s="20" t="n">
        <f aca="false">-ROUND(AH9*Assumptions!$B$29,0)</f>
        <v>-144</v>
      </c>
      <c r="AJ7" s="20" t="n">
        <f aca="false">-ROUND(AI9*Assumptions!$B$29,0)</f>
        <v>-149</v>
      </c>
      <c r="AK7" s="20" t="n">
        <f aca="false">-ROUND(AJ9*Assumptions!$B$29,0)</f>
        <v>-154</v>
      </c>
    </row>
    <row r="8" customFormat="false" ht="15" hidden="false" customHeight="true" outlineLevel="0" collapsed="false">
      <c r="A8" s="6" t="s">
        <v>100</v>
      </c>
      <c r="B8" s="20" t="n">
        <f aca="false">B6+B7</f>
        <v>10</v>
      </c>
      <c r="C8" s="20" t="n">
        <f aca="false">C6+C7</f>
        <v>9</v>
      </c>
      <c r="D8" s="20" t="n">
        <f aca="false">D6+D7</f>
        <v>9</v>
      </c>
      <c r="E8" s="20" t="n">
        <f aca="false">E6+E7</f>
        <v>24</v>
      </c>
      <c r="F8" s="20" t="n">
        <f aca="false">F6+F7</f>
        <v>22</v>
      </c>
      <c r="G8" s="20" t="n">
        <f aca="false">G6+G7</f>
        <v>21</v>
      </c>
      <c r="H8" s="20" t="n">
        <f aca="false">H6+H7</f>
        <v>45</v>
      </c>
      <c r="I8" s="20" t="n">
        <f aca="false">I6+I7</f>
        <v>43</v>
      </c>
      <c r="J8" s="20" t="n">
        <f aca="false">J6+J7</f>
        <v>41</v>
      </c>
      <c r="K8" s="20" t="n">
        <f aca="false">K6+K7</f>
        <v>69</v>
      </c>
      <c r="L8" s="20" t="n">
        <f aca="false">L6+L7</f>
        <v>65</v>
      </c>
      <c r="M8" s="20" t="n">
        <f aca="false">M6+M7</f>
        <v>62</v>
      </c>
      <c r="N8" s="20" t="n">
        <f aca="false">N6+N7</f>
        <v>99</v>
      </c>
      <c r="O8" s="20" t="n">
        <f aca="false">O6+O7</f>
        <v>94</v>
      </c>
      <c r="P8" s="20" t="n">
        <f aca="false">P6+P7</f>
        <v>89</v>
      </c>
      <c r="Q8" s="20" t="n">
        <f aca="false">Q6+Q7</f>
        <v>85</v>
      </c>
      <c r="R8" s="20" t="n">
        <f aca="false">R6+R7</f>
        <v>81</v>
      </c>
      <c r="S8" s="20" t="n">
        <f aca="false">S6+S7</f>
        <v>77</v>
      </c>
      <c r="T8" s="20" t="n">
        <f aca="false">T6+T7</f>
        <v>128</v>
      </c>
      <c r="U8" s="20" t="n">
        <f aca="false">U6+U7</f>
        <v>121</v>
      </c>
      <c r="V8" s="20" t="n">
        <f aca="false">V6+V7</f>
        <v>115</v>
      </c>
      <c r="W8" s="20" t="n">
        <f aca="false">W6+W7</f>
        <v>110</v>
      </c>
      <c r="X8" s="20" t="n">
        <f aca="false">X6+X7</f>
        <v>104</v>
      </c>
      <c r="Y8" s="20" t="n">
        <f aca="false">Y6+Y7</f>
        <v>99</v>
      </c>
      <c r="Z8" s="20" t="n">
        <f aca="false">Z6+Z7</f>
        <v>169</v>
      </c>
      <c r="AA8" s="20" t="n">
        <f aca="false">AA6+AA7</f>
        <v>160</v>
      </c>
      <c r="AB8" s="20" t="n">
        <f aca="false">AB6+AB7</f>
        <v>152</v>
      </c>
      <c r="AC8" s="20" t="n">
        <f aca="false">AC6+AC7</f>
        <v>145</v>
      </c>
      <c r="AD8" s="20" t="n">
        <f aca="false">AD6+AD7</f>
        <v>138</v>
      </c>
      <c r="AE8" s="20" t="n">
        <f aca="false">AE6+AE7</f>
        <v>131</v>
      </c>
      <c r="AF8" s="20" t="n">
        <f aca="false">AF6+AF7</f>
        <v>124</v>
      </c>
      <c r="AG8" s="20" t="n">
        <f aca="false">AG6+AG7</f>
        <v>118</v>
      </c>
      <c r="AH8" s="20" t="n">
        <f aca="false">AH6+AH7</f>
        <v>112</v>
      </c>
      <c r="AI8" s="20" t="n">
        <f aca="false">AI6+AI7</f>
        <v>106</v>
      </c>
      <c r="AJ8" s="20" t="n">
        <f aca="false">AJ6+AJ7</f>
        <v>101</v>
      </c>
      <c r="AK8" s="20" t="n">
        <f aca="false">AK6+AK7</f>
        <v>96</v>
      </c>
    </row>
    <row r="9" customFormat="false" ht="15" hidden="false" customHeight="true" outlineLevel="0" collapsed="false">
      <c r="A9" s="11" t="s">
        <v>101</v>
      </c>
      <c r="B9" s="13" t="n">
        <f aca="false">B8</f>
        <v>10</v>
      </c>
      <c r="C9" s="13" t="n">
        <f aca="false">B9+C8</f>
        <v>19</v>
      </c>
      <c r="D9" s="13" t="n">
        <f aca="false">C9+D8</f>
        <v>28</v>
      </c>
      <c r="E9" s="13" t="n">
        <f aca="false">D9+E8</f>
        <v>52</v>
      </c>
      <c r="F9" s="13" t="n">
        <f aca="false">E9+F8</f>
        <v>74</v>
      </c>
      <c r="G9" s="13" t="n">
        <f aca="false">F9+G8</f>
        <v>95</v>
      </c>
      <c r="H9" s="13" t="n">
        <f aca="false">G9+H8</f>
        <v>140</v>
      </c>
      <c r="I9" s="13" t="n">
        <f aca="false">H9+I8</f>
        <v>183</v>
      </c>
      <c r="J9" s="13" t="n">
        <f aca="false">I9+J8</f>
        <v>224</v>
      </c>
      <c r="K9" s="13" t="n">
        <f aca="false">J9+K8</f>
        <v>293</v>
      </c>
      <c r="L9" s="13" t="n">
        <f aca="false">K9+L8</f>
        <v>358</v>
      </c>
      <c r="M9" s="13" t="n">
        <f aca="false">L9+M8</f>
        <v>420</v>
      </c>
      <c r="N9" s="13" t="n">
        <f aca="false">M9+N8</f>
        <v>519</v>
      </c>
      <c r="O9" s="13" t="n">
        <f aca="false">N9+O8</f>
        <v>613</v>
      </c>
      <c r="P9" s="13" t="n">
        <f aca="false">O9+P8</f>
        <v>702</v>
      </c>
      <c r="Q9" s="13" t="n">
        <f aca="false">P9+Q8</f>
        <v>787</v>
      </c>
      <c r="R9" s="13" t="n">
        <f aca="false">Q9+R8</f>
        <v>868</v>
      </c>
      <c r="S9" s="13" t="n">
        <f aca="false">R9+S8</f>
        <v>945</v>
      </c>
      <c r="T9" s="13" t="n">
        <f aca="false">S9+T8</f>
        <v>1073</v>
      </c>
      <c r="U9" s="13" t="n">
        <f aca="false">T9+U8</f>
        <v>1194</v>
      </c>
      <c r="V9" s="13" t="n">
        <f aca="false">U9+V8</f>
        <v>1309</v>
      </c>
      <c r="W9" s="13" t="n">
        <f aca="false">V9+W8</f>
        <v>1419</v>
      </c>
      <c r="X9" s="13" t="n">
        <f aca="false">W9+X8</f>
        <v>1523</v>
      </c>
      <c r="Y9" s="13" t="n">
        <f aca="false">X9+Y8</f>
        <v>1622</v>
      </c>
      <c r="Z9" s="13" t="n">
        <f aca="false">Y9+Z8</f>
        <v>1791</v>
      </c>
      <c r="AA9" s="13" t="n">
        <f aca="false">Z9+AA8</f>
        <v>1951</v>
      </c>
      <c r="AB9" s="13" t="n">
        <f aca="false">AA9+AB8</f>
        <v>2103</v>
      </c>
      <c r="AC9" s="13" t="n">
        <f aca="false">AB9+AC8</f>
        <v>2248</v>
      </c>
      <c r="AD9" s="13" t="n">
        <f aca="false">AC9+AD8</f>
        <v>2386</v>
      </c>
      <c r="AE9" s="13" t="n">
        <f aca="false">AD9+AE8</f>
        <v>2517</v>
      </c>
      <c r="AF9" s="13" t="n">
        <f aca="false">AE9+AF8</f>
        <v>2641</v>
      </c>
      <c r="AG9" s="13" t="n">
        <f aca="false">AF9+AG8</f>
        <v>2759</v>
      </c>
      <c r="AH9" s="13" t="n">
        <f aca="false">AG9+AH8</f>
        <v>2871</v>
      </c>
      <c r="AI9" s="13" t="n">
        <f aca="false">AH9+AI8</f>
        <v>2977</v>
      </c>
      <c r="AJ9" s="13" t="n">
        <f aca="false">AI9+AJ8</f>
        <v>3078</v>
      </c>
      <c r="AK9" s="13" t="n">
        <f aca="false">AJ9+AK8</f>
        <v>3174</v>
      </c>
    </row>
    <row r="11" customFormat="false" ht="15" hidden="false" customHeight="true" outlineLevel="0" collapsed="false">
      <c r="A11" s="5" t="s">
        <v>102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customFormat="false" ht="15" hidden="false" customHeight="true" outlineLevel="0" collapsed="false">
      <c r="A12" s="6" t="s">
        <v>103</v>
      </c>
      <c r="B12" s="10" t="n">
        <f aca="false">B9*Assumptions!$B$32</f>
        <v>1527.5</v>
      </c>
      <c r="C12" s="10" t="n">
        <f aca="false">C9*Assumptions!$B$32</f>
        <v>2902.25</v>
      </c>
      <c r="D12" s="10" t="n">
        <f aca="false">D9*Assumptions!$B$32</f>
        <v>4277</v>
      </c>
      <c r="E12" s="10" t="n">
        <f aca="false">E9*Assumptions!$B$32</f>
        <v>7943</v>
      </c>
      <c r="F12" s="10" t="n">
        <f aca="false">F9*Assumptions!$B$32</f>
        <v>11303.5</v>
      </c>
      <c r="G12" s="10" t="n">
        <f aca="false">G9*Assumptions!$B$32</f>
        <v>14511.25</v>
      </c>
      <c r="H12" s="10" t="n">
        <f aca="false">H9*Assumptions!$B$32</f>
        <v>21385</v>
      </c>
      <c r="I12" s="10" t="n">
        <f aca="false">I9*Assumptions!$B$32</f>
        <v>27953.25</v>
      </c>
      <c r="J12" s="10" t="n">
        <f aca="false">J9*Assumptions!$B$32</f>
        <v>34216</v>
      </c>
      <c r="K12" s="10" t="n">
        <f aca="false">K9*Assumptions!$B$32</f>
        <v>44755.75</v>
      </c>
      <c r="L12" s="10" t="n">
        <f aca="false">L9*Assumptions!$B$32</f>
        <v>54684.5</v>
      </c>
      <c r="M12" s="10" t="n">
        <f aca="false">M9*Assumptions!$B$32</f>
        <v>64155</v>
      </c>
      <c r="N12" s="10" t="n">
        <f aca="false">N9*Assumptions!$B$32</f>
        <v>79277.25</v>
      </c>
      <c r="O12" s="10" t="n">
        <f aca="false">O9*Assumptions!$B$32</f>
        <v>93635.75</v>
      </c>
      <c r="P12" s="10" t="n">
        <f aca="false">P9*Assumptions!$B$32</f>
        <v>107230.5</v>
      </c>
      <c r="Q12" s="10" t="n">
        <f aca="false">Q9*Assumptions!$B$32</f>
        <v>120214.25</v>
      </c>
      <c r="R12" s="10" t="n">
        <f aca="false">R9*Assumptions!$B$32</f>
        <v>132587</v>
      </c>
      <c r="S12" s="10" t="n">
        <f aca="false">S9*Assumptions!$B$32</f>
        <v>144348.75</v>
      </c>
      <c r="T12" s="10" t="n">
        <f aca="false">T9*Assumptions!$B$32</f>
        <v>163900.75</v>
      </c>
      <c r="U12" s="10" t="n">
        <f aca="false">U9*Assumptions!$B$32</f>
        <v>182383.5</v>
      </c>
      <c r="V12" s="10" t="n">
        <f aca="false">V9*Assumptions!$B$32</f>
        <v>199949.75</v>
      </c>
      <c r="W12" s="10" t="n">
        <f aca="false">W9*Assumptions!$B$32</f>
        <v>216752.25</v>
      </c>
      <c r="X12" s="10" t="n">
        <f aca="false">X9*Assumptions!$B$32</f>
        <v>232638.25</v>
      </c>
      <c r="Y12" s="10" t="n">
        <f aca="false">Y9*Assumptions!$B$32</f>
        <v>247760.5</v>
      </c>
      <c r="Z12" s="10" t="n">
        <f aca="false">Z9*Assumptions!$B$32</f>
        <v>273575.25</v>
      </c>
      <c r="AA12" s="10" t="n">
        <f aca="false">AA9*Assumptions!$B$32</f>
        <v>298015.25</v>
      </c>
      <c r="AB12" s="10" t="n">
        <f aca="false">AB9*Assumptions!$B$32</f>
        <v>321233.25</v>
      </c>
      <c r="AC12" s="10" t="n">
        <f aca="false">AC9*Assumptions!$B$32</f>
        <v>343382</v>
      </c>
      <c r="AD12" s="10" t="n">
        <f aca="false">AD9*Assumptions!$B$32</f>
        <v>364461.5</v>
      </c>
      <c r="AE12" s="10" t="n">
        <f aca="false">AE9*Assumptions!$B$32</f>
        <v>384471.75</v>
      </c>
      <c r="AF12" s="10" t="n">
        <f aca="false">AF9*Assumptions!$B$32</f>
        <v>403412.75</v>
      </c>
      <c r="AG12" s="10" t="n">
        <f aca="false">AG9*Assumptions!$B$32</f>
        <v>421437.25</v>
      </c>
      <c r="AH12" s="10" t="n">
        <f aca="false">AH9*Assumptions!$B$32</f>
        <v>438545.25</v>
      </c>
      <c r="AI12" s="10" t="n">
        <f aca="false">AI9*Assumptions!$B$32</f>
        <v>454736.75</v>
      </c>
      <c r="AJ12" s="10" t="n">
        <f aca="false">AJ9*Assumptions!$B$32</f>
        <v>470164.5</v>
      </c>
      <c r="AK12" s="10" t="n">
        <f aca="false">AK9*Assumptions!$B$32</f>
        <v>484828.5</v>
      </c>
    </row>
    <row r="13" customFormat="false" ht="15" hidden="false" customHeight="true" outlineLevel="0" collapsed="false">
      <c r="A13" s="6" t="s">
        <v>104</v>
      </c>
      <c r="B13" s="10" t="n">
        <f aca="false">B9*Assumptions!$B$36</f>
        <v>80</v>
      </c>
      <c r="C13" s="10" t="n">
        <f aca="false">C9*Assumptions!$B$36</f>
        <v>152</v>
      </c>
      <c r="D13" s="10" t="n">
        <f aca="false">D9*Assumptions!$B$36</f>
        <v>224</v>
      </c>
      <c r="E13" s="10" t="n">
        <f aca="false">E9*Assumptions!$B$36</f>
        <v>416</v>
      </c>
      <c r="F13" s="10" t="n">
        <f aca="false">F9*Assumptions!$B$36</f>
        <v>592</v>
      </c>
      <c r="G13" s="10" t="n">
        <f aca="false">G9*Assumptions!$B$36</f>
        <v>760</v>
      </c>
      <c r="H13" s="10" t="n">
        <f aca="false">H9*Assumptions!$B$36</f>
        <v>1120</v>
      </c>
      <c r="I13" s="10" t="n">
        <f aca="false">I9*Assumptions!$B$36</f>
        <v>1464</v>
      </c>
      <c r="J13" s="10" t="n">
        <f aca="false">J9*Assumptions!$B$36</f>
        <v>1792</v>
      </c>
      <c r="K13" s="10" t="n">
        <f aca="false">K9*Assumptions!$B$36</f>
        <v>2344</v>
      </c>
      <c r="L13" s="10" t="n">
        <f aca="false">L9*Assumptions!$B$36</f>
        <v>2864</v>
      </c>
      <c r="M13" s="10" t="n">
        <f aca="false">M9*Assumptions!$B$36</f>
        <v>3360</v>
      </c>
      <c r="N13" s="10" t="n">
        <f aca="false">N9*Assumptions!$B$36</f>
        <v>4152</v>
      </c>
      <c r="O13" s="10" t="n">
        <f aca="false">O9*Assumptions!$B$36</f>
        <v>4904</v>
      </c>
      <c r="P13" s="10" t="n">
        <f aca="false">P9*Assumptions!$B$36</f>
        <v>5616</v>
      </c>
      <c r="Q13" s="10" t="n">
        <f aca="false">Q9*Assumptions!$B$36</f>
        <v>6296</v>
      </c>
      <c r="R13" s="10" t="n">
        <f aca="false">R9*Assumptions!$B$36</f>
        <v>6944</v>
      </c>
      <c r="S13" s="10" t="n">
        <f aca="false">S9*Assumptions!$B$36</f>
        <v>7560</v>
      </c>
      <c r="T13" s="10" t="n">
        <f aca="false">T9*Assumptions!$B$36</f>
        <v>8584</v>
      </c>
      <c r="U13" s="10" t="n">
        <f aca="false">U9*Assumptions!$B$36</f>
        <v>9552</v>
      </c>
      <c r="V13" s="10" t="n">
        <f aca="false">V9*Assumptions!$B$36</f>
        <v>10472</v>
      </c>
      <c r="W13" s="10" t="n">
        <f aca="false">W9*Assumptions!$B$36</f>
        <v>11352</v>
      </c>
      <c r="X13" s="10" t="n">
        <f aca="false">X9*Assumptions!$B$36</f>
        <v>12184</v>
      </c>
      <c r="Y13" s="10" t="n">
        <f aca="false">Y9*Assumptions!$B$36</f>
        <v>12976</v>
      </c>
      <c r="Z13" s="10" t="n">
        <f aca="false">Z9*Assumptions!$B$36</f>
        <v>14328</v>
      </c>
      <c r="AA13" s="10" t="n">
        <f aca="false">AA9*Assumptions!$B$36</f>
        <v>15608</v>
      </c>
      <c r="AB13" s="10" t="n">
        <f aca="false">AB9*Assumptions!$B$36</f>
        <v>16824</v>
      </c>
      <c r="AC13" s="10" t="n">
        <f aca="false">AC9*Assumptions!$B$36</f>
        <v>17984</v>
      </c>
      <c r="AD13" s="10" t="n">
        <f aca="false">AD9*Assumptions!$B$36</f>
        <v>19088</v>
      </c>
      <c r="AE13" s="10" t="n">
        <f aca="false">AE9*Assumptions!$B$36</f>
        <v>20136</v>
      </c>
      <c r="AF13" s="10" t="n">
        <f aca="false">AF9*Assumptions!$B$36</f>
        <v>21128</v>
      </c>
      <c r="AG13" s="10" t="n">
        <f aca="false">AG9*Assumptions!$B$36</f>
        <v>22072</v>
      </c>
      <c r="AH13" s="10" t="n">
        <f aca="false">AH9*Assumptions!$B$36</f>
        <v>22968</v>
      </c>
      <c r="AI13" s="10" t="n">
        <f aca="false">AI9*Assumptions!$B$36</f>
        <v>23816</v>
      </c>
      <c r="AJ13" s="10" t="n">
        <f aca="false">AJ9*Assumptions!$B$36</f>
        <v>24624</v>
      </c>
      <c r="AK13" s="10" t="n">
        <f aca="false">AK9*Assumptions!$B$36</f>
        <v>25392</v>
      </c>
    </row>
    <row r="14" customFormat="false" ht="15" hidden="false" customHeight="true" outlineLevel="0" collapsed="false">
      <c r="A14" s="6" t="s">
        <v>105</v>
      </c>
      <c r="B14" s="10" t="n">
        <f aca="false">ROUND(B9*0.1,0)*Assumptions!$B$37/12</f>
        <v>4.08333333333333</v>
      </c>
      <c r="C14" s="10" t="n">
        <f aca="false">ROUND(C9*0.1,0)*Assumptions!$B$37/12</f>
        <v>8.16666666666667</v>
      </c>
      <c r="D14" s="10" t="n">
        <f aca="false">ROUND(D9*0.1,0)*Assumptions!$B$37/12</f>
        <v>12.25</v>
      </c>
      <c r="E14" s="10" t="n">
        <f aca="false">ROUND(E9*0.1,0)*Assumptions!$B$37/12</f>
        <v>20.4166666666667</v>
      </c>
      <c r="F14" s="10" t="n">
        <f aca="false">ROUND(F9*0.1,0)*Assumptions!$B$37/12</f>
        <v>28.5833333333333</v>
      </c>
      <c r="G14" s="10" t="n">
        <f aca="false">ROUND(G9*0.1,0)*Assumptions!$B$37/12</f>
        <v>40.8333333333333</v>
      </c>
      <c r="H14" s="10" t="n">
        <f aca="false">ROUND(H9*0.1,0)*Assumptions!$B$37/12</f>
        <v>57.1666666666667</v>
      </c>
      <c r="I14" s="10" t="n">
        <f aca="false">ROUND(I9*0.1,0)*Assumptions!$B$37/12</f>
        <v>73.5</v>
      </c>
      <c r="J14" s="10" t="n">
        <f aca="false">ROUND(J9*0.1,0)*Assumptions!$B$37/12</f>
        <v>89.8333333333333</v>
      </c>
      <c r="K14" s="10" t="n">
        <f aca="false">ROUND(K9*0.1,0)*Assumptions!$B$37/12</f>
        <v>118.416666666667</v>
      </c>
      <c r="L14" s="10" t="n">
        <f aca="false">ROUND(L9*0.1,0)*Assumptions!$B$37/12</f>
        <v>147</v>
      </c>
      <c r="M14" s="10" t="n">
        <f aca="false">ROUND(M9*0.1,0)*Assumptions!$B$37/12</f>
        <v>171.5</v>
      </c>
      <c r="N14" s="10" t="n">
        <f aca="false">ROUND(N9*0.1,0)*Assumptions!$B$37/12</f>
        <v>212.333333333333</v>
      </c>
      <c r="O14" s="10" t="n">
        <f aca="false">ROUND(O9*0.1,0)*Assumptions!$B$37/12</f>
        <v>249.083333333333</v>
      </c>
      <c r="P14" s="10" t="n">
        <f aca="false">ROUND(P9*0.1,0)*Assumptions!$B$37/12</f>
        <v>285.833333333333</v>
      </c>
      <c r="Q14" s="10" t="n">
        <f aca="false">ROUND(Q9*0.1,0)*Assumptions!$B$37/12</f>
        <v>322.583333333333</v>
      </c>
      <c r="R14" s="10" t="n">
        <f aca="false">ROUND(R9*0.1,0)*Assumptions!$B$37/12</f>
        <v>355.25</v>
      </c>
      <c r="S14" s="10" t="n">
        <f aca="false">ROUND(S9*0.1,0)*Assumptions!$B$37/12</f>
        <v>387.916666666667</v>
      </c>
      <c r="T14" s="10" t="n">
        <f aca="false">ROUND(T9*0.1,0)*Assumptions!$B$37/12</f>
        <v>436.916666666667</v>
      </c>
      <c r="U14" s="10" t="n">
        <f aca="false">ROUND(U9*0.1,0)*Assumptions!$B$37/12</f>
        <v>485.916666666667</v>
      </c>
      <c r="V14" s="10" t="n">
        <f aca="false">ROUND(V9*0.1,0)*Assumptions!$B$37/12</f>
        <v>534.916666666667</v>
      </c>
      <c r="W14" s="10" t="n">
        <f aca="false">ROUND(W9*0.1,0)*Assumptions!$B$37/12</f>
        <v>579.833333333333</v>
      </c>
      <c r="X14" s="10" t="n">
        <f aca="false">ROUND(X9*0.1,0)*Assumptions!$B$37/12</f>
        <v>620.666666666667</v>
      </c>
      <c r="Y14" s="10" t="n">
        <f aca="false">ROUND(Y9*0.1,0)*Assumptions!$B$37/12</f>
        <v>661.5</v>
      </c>
      <c r="Z14" s="10" t="n">
        <f aca="false">ROUND(Z9*0.1,0)*Assumptions!$B$37/12</f>
        <v>730.916666666667</v>
      </c>
      <c r="AA14" s="10" t="n">
        <f aca="false">ROUND(AA9*0.1,0)*Assumptions!$B$37/12</f>
        <v>796.25</v>
      </c>
      <c r="AB14" s="10" t="n">
        <f aca="false">ROUND(AB9*0.1,0)*Assumptions!$B$37/12</f>
        <v>857.5</v>
      </c>
      <c r="AC14" s="10" t="n">
        <f aca="false">ROUND(AC9*0.1,0)*Assumptions!$B$37/12</f>
        <v>918.75</v>
      </c>
      <c r="AD14" s="10" t="n">
        <f aca="false">ROUND(AD9*0.1,0)*Assumptions!$B$37/12</f>
        <v>975.916666666667</v>
      </c>
      <c r="AE14" s="10" t="n">
        <f aca="false">ROUND(AE9*0.1,0)*Assumptions!$B$37/12</f>
        <v>1029</v>
      </c>
      <c r="AF14" s="10" t="n">
        <f aca="false">ROUND(AF9*0.1,0)*Assumptions!$B$37/12</f>
        <v>1078</v>
      </c>
      <c r="AG14" s="10" t="n">
        <f aca="false">ROUND(AG9*0.1,0)*Assumptions!$B$37/12</f>
        <v>1127</v>
      </c>
      <c r="AH14" s="10" t="n">
        <f aca="false">ROUND(AH9*0.1,0)*Assumptions!$B$37/12</f>
        <v>1171.91666666667</v>
      </c>
      <c r="AI14" s="10" t="n">
        <f aca="false">ROUND(AI9*0.1,0)*Assumptions!$B$37/12</f>
        <v>1216.83333333333</v>
      </c>
      <c r="AJ14" s="10" t="n">
        <f aca="false">ROUND(AJ9*0.1,0)*Assumptions!$B$37/12</f>
        <v>1257.66666666667</v>
      </c>
      <c r="AK14" s="10" t="n">
        <f aca="false">ROUND(AK9*0.1,0)*Assumptions!$B$37/12</f>
        <v>1294.41666666667</v>
      </c>
    </row>
    <row r="15" customFormat="false" ht="15" hidden="false" customHeight="true" outlineLevel="0" collapsed="false">
      <c r="A15" s="11" t="s">
        <v>106</v>
      </c>
      <c r="B15" s="21" t="n">
        <f aca="false">B12+B13+B14</f>
        <v>1611.58333333333</v>
      </c>
      <c r="C15" s="21" t="n">
        <f aca="false">C12+C13+C14</f>
        <v>3062.41666666667</v>
      </c>
      <c r="D15" s="21" t="n">
        <f aca="false">D12+D13+D14</f>
        <v>4513.25</v>
      </c>
      <c r="E15" s="21" t="n">
        <f aca="false">E12+E13+E14</f>
        <v>8379.41666666667</v>
      </c>
      <c r="F15" s="21" t="n">
        <f aca="false">F12+F13+F14</f>
        <v>11924.0833333333</v>
      </c>
      <c r="G15" s="21" t="n">
        <f aca="false">G12+G13+G14</f>
        <v>15312.0833333333</v>
      </c>
      <c r="H15" s="21" t="n">
        <f aca="false">H12+H13+H14</f>
        <v>22562.1666666667</v>
      </c>
      <c r="I15" s="21" t="n">
        <f aca="false">I12+I13+I14</f>
        <v>29490.75</v>
      </c>
      <c r="J15" s="21" t="n">
        <f aca="false">J12+J13+J14</f>
        <v>36097.8333333333</v>
      </c>
      <c r="K15" s="21" t="n">
        <f aca="false">K12+K13+K14</f>
        <v>47218.1666666667</v>
      </c>
      <c r="L15" s="21" t="n">
        <f aca="false">L12+L13+L14</f>
        <v>57695.5</v>
      </c>
      <c r="M15" s="21" t="n">
        <f aca="false">M12+M13+M14</f>
        <v>67686.5</v>
      </c>
      <c r="N15" s="21" t="n">
        <f aca="false">N12+N13+N14</f>
        <v>83641.5833333333</v>
      </c>
      <c r="O15" s="21" t="n">
        <f aca="false">O12+O13+O14</f>
        <v>98788.8333333333</v>
      </c>
      <c r="P15" s="21" t="n">
        <f aca="false">P12+P13+P14</f>
        <v>113132.333333333</v>
      </c>
      <c r="Q15" s="21" t="n">
        <f aca="false">Q12+Q13+Q14</f>
        <v>126832.833333333</v>
      </c>
      <c r="R15" s="21" t="n">
        <f aca="false">R12+R13+R14</f>
        <v>139886.25</v>
      </c>
      <c r="S15" s="21" t="n">
        <f aca="false">S12+S13+S14</f>
        <v>152296.666666667</v>
      </c>
      <c r="T15" s="21" t="n">
        <f aca="false">T12+T13+T14</f>
        <v>172921.666666667</v>
      </c>
      <c r="U15" s="21" t="n">
        <f aca="false">U12+U13+U14</f>
        <v>192421.416666667</v>
      </c>
      <c r="V15" s="21" t="n">
        <f aca="false">V12+V13+V14</f>
        <v>210956.666666667</v>
      </c>
      <c r="W15" s="21" t="n">
        <f aca="false">W12+W13+W14</f>
        <v>228684.083333333</v>
      </c>
      <c r="X15" s="21" t="n">
        <f aca="false">X12+X13+X14</f>
        <v>245442.916666667</v>
      </c>
      <c r="Y15" s="21" t="n">
        <f aca="false">Y12+Y13+Y14</f>
        <v>261398</v>
      </c>
      <c r="Z15" s="21" t="n">
        <f aca="false">Z12+Z13+Z14</f>
        <v>288634.166666667</v>
      </c>
      <c r="AA15" s="21" t="n">
        <f aca="false">AA12+AA13+AA14</f>
        <v>314419.5</v>
      </c>
      <c r="AB15" s="21" t="n">
        <f aca="false">AB12+AB13+AB14</f>
        <v>338914.75</v>
      </c>
      <c r="AC15" s="21" t="n">
        <f aca="false">AC12+AC13+AC14</f>
        <v>362284.75</v>
      </c>
      <c r="AD15" s="21" t="n">
        <f aca="false">AD12+AD13+AD14</f>
        <v>384525.416666667</v>
      </c>
      <c r="AE15" s="21" t="n">
        <f aca="false">AE12+AE13+AE14</f>
        <v>405636.75</v>
      </c>
      <c r="AF15" s="21" t="n">
        <f aca="false">AF12+AF13+AF14</f>
        <v>425618.75</v>
      </c>
      <c r="AG15" s="21" t="n">
        <f aca="false">AG12+AG13+AG14</f>
        <v>444636.25</v>
      </c>
      <c r="AH15" s="21" t="n">
        <f aca="false">AH12+AH13+AH14</f>
        <v>462685.166666667</v>
      </c>
      <c r="AI15" s="21" t="n">
        <f aca="false">AI12+AI13+AI14</f>
        <v>479769.583333333</v>
      </c>
      <c r="AJ15" s="21" t="n">
        <f aca="false">AJ12+AJ13+AJ14</f>
        <v>496046.166666667</v>
      </c>
      <c r="AK15" s="21" t="n">
        <f aca="false">AK12+AK13+AK14</f>
        <v>511514.916666667</v>
      </c>
    </row>
    <row r="17" customFormat="false" ht="15" hidden="false" customHeight="true" outlineLevel="0" collapsed="false">
      <c r="A17" s="5" t="s">
        <v>107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customFormat="false" ht="15" hidden="false" customHeight="true" outlineLevel="0" collapsed="false">
      <c r="A18" s="6" t="s">
        <v>108</v>
      </c>
      <c r="B18" s="10" t="n">
        <f aca="false">Assumptions!$B$21*(1+Assumptions!$B$46)^0</f>
        <v>27800</v>
      </c>
      <c r="C18" s="10" t="n">
        <f aca="false">Assumptions!$B$21*(1+Assumptions!$B$46)^0</f>
        <v>27800</v>
      </c>
      <c r="D18" s="10" t="n">
        <f aca="false">Assumptions!$B$21*(1+Assumptions!$B$46)^0</f>
        <v>27800</v>
      </c>
      <c r="E18" s="10" t="n">
        <f aca="false">Assumptions!$B$21*(1+Assumptions!$B$46)^1</f>
        <v>29190</v>
      </c>
      <c r="F18" s="10" t="n">
        <f aca="false">Assumptions!$B$21*(1+Assumptions!$B$46)^1</f>
        <v>29190</v>
      </c>
      <c r="G18" s="10" t="n">
        <f aca="false">Assumptions!$B$21*(1+Assumptions!$B$46)^1</f>
        <v>29190</v>
      </c>
      <c r="H18" s="10" t="n">
        <f aca="false">Assumptions!$B$21*(1+Assumptions!$B$46)^2</f>
        <v>30649.5</v>
      </c>
      <c r="I18" s="10" t="n">
        <f aca="false">Assumptions!$B$21*(1+Assumptions!$B$46)^2</f>
        <v>30649.5</v>
      </c>
      <c r="J18" s="10" t="n">
        <f aca="false">Assumptions!$B$21*(1+Assumptions!$B$46)^2</f>
        <v>30649.5</v>
      </c>
      <c r="K18" s="10" t="n">
        <f aca="false">Assumptions!$B$21*(1+Assumptions!$B$46)^3</f>
        <v>32181.975</v>
      </c>
      <c r="L18" s="10" t="n">
        <f aca="false">Assumptions!$B$21*(1+Assumptions!$B$46)^3</f>
        <v>32181.975</v>
      </c>
      <c r="M18" s="10" t="n">
        <f aca="false">Assumptions!$B$21*(1+Assumptions!$B$46)^3</f>
        <v>32181.975</v>
      </c>
      <c r="N18" s="10" t="n">
        <f aca="false">Assumptions!$B$21*(1+Assumptions!$B$46)^4</f>
        <v>33791.07375</v>
      </c>
      <c r="O18" s="10" t="n">
        <f aca="false">Assumptions!$B$21*(1+Assumptions!$B$46)^4</f>
        <v>33791.07375</v>
      </c>
      <c r="P18" s="10" t="n">
        <f aca="false">Assumptions!$B$21*(1+Assumptions!$B$46)^4</f>
        <v>33791.07375</v>
      </c>
      <c r="Q18" s="10" t="n">
        <f aca="false">Assumptions!$B$21*(1+Assumptions!$B$46)^5</f>
        <v>35480.6274375</v>
      </c>
      <c r="R18" s="10" t="n">
        <f aca="false">Assumptions!$B$21*(1+Assumptions!$B$46)^5</f>
        <v>35480.6274375</v>
      </c>
      <c r="S18" s="10" t="n">
        <f aca="false">Assumptions!$B$21*(1+Assumptions!$B$46)^5</f>
        <v>35480.6274375</v>
      </c>
      <c r="T18" s="10" t="n">
        <f aca="false">Assumptions!$B$21*(1+Assumptions!$B$46)^6</f>
        <v>37254.658809375</v>
      </c>
      <c r="U18" s="10" t="n">
        <f aca="false">Assumptions!$B$21*(1+Assumptions!$B$46)^6</f>
        <v>37254.658809375</v>
      </c>
      <c r="V18" s="10" t="n">
        <f aca="false">Assumptions!$B$21*(1+Assumptions!$B$46)^6</f>
        <v>37254.658809375</v>
      </c>
      <c r="W18" s="10" t="n">
        <f aca="false">Assumptions!$B$21*(1+Assumptions!$B$46)^7</f>
        <v>39117.3917498438</v>
      </c>
      <c r="X18" s="10" t="n">
        <f aca="false">Assumptions!$B$21*(1+Assumptions!$B$46)^7</f>
        <v>39117.3917498438</v>
      </c>
      <c r="Y18" s="10" t="n">
        <f aca="false">Assumptions!$B$21*(1+Assumptions!$B$46)^7</f>
        <v>39117.3917498438</v>
      </c>
      <c r="Z18" s="10" t="n">
        <f aca="false">Assumptions!$B$21*(1+Assumptions!$B$46)^8</f>
        <v>41073.261337336</v>
      </c>
      <c r="AA18" s="10" t="n">
        <f aca="false">Assumptions!$B$21*(1+Assumptions!$B$46)^8</f>
        <v>41073.261337336</v>
      </c>
      <c r="AB18" s="10" t="n">
        <f aca="false">Assumptions!$B$21*(1+Assumptions!$B$46)^8</f>
        <v>41073.261337336</v>
      </c>
      <c r="AC18" s="10" t="n">
        <f aca="false">Assumptions!$B$21*(1+Assumptions!$B$46)^9</f>
        <v>43126.9244042028</v>
      </c>
      <c r="AD18" s="10" t="n">
        <f aca="false">Assumptions!$B$21*(1+Assumptions!$B$46)^9</f>
        <v>43126.9244042028</v>
      </c>
      <c r="AE18" s="10" t="n">
        <f aca="false">Assumptions!$B$21*(1+Assumptions!$B$46)^9</f>
        <v>43126.9244042028</v>
      </c>
      <c r="AF18" s="10" t="n">
        <f aca="false">Assumptions!$B$21*(1+Assumptions!$B$46)^10</f>
        <v>45283.2706244129</v>
      </c>
      <c r="AG18" s="10" t="n">
        <f aca="false">Assumptions!$B$21*(1+Assumptions!$B$46)^10</f>
        <v>45283.2706244129</v>
      </c>
      <c r="AH18" s="10" t="n">
        <f aca="false">Assumptions!$B$21*(1+Assumptions!$B$46)^10</f>
        <v>45283.2706244129</v>
      </c>
      <c r="AI18" s="10" t="n">
        <f aca="false">Assumptions!$B$21*(1+Assumptions!$B$46)^11</f>
        <v>47547.4341556335</v>
      </c>
      <c r="AJ18" s="10" t="n">
        <f aca="false">Assumptions!$B$21*(1+Assumptions!$B$46)^11</f>
        <v>47547.4341556335</v>
      </c>
      <c r="AK18" s="10" t="n">
        <f aca="false">Assumptions!$B$21*(1+Assumptions!$B$46)^11</f>
        <v>47547.4341556335</v>
      </c>
    </row>
    <row r="19" customFormat="false" ht="15" hidden="false" customHeight="true" outlineLevel="0" collapsed="false">
      <c r="A19" s="6" t="s">
        <v>109</v>
      </c>
      <c r="B19" s="10" t="n">
        <f aca="false">MAX(0,B9*5-Assumptions!$B$15)</f>
        <v>0</v>
      </c>
      <c r="C19" s="10" t="n">
        <f aca="false">MAX(0,C9*5-Assumptions!$B$15)</f>
        <v>0</v>
      </c>
      <c r="D19" s="10" t="n">
        <f aca="false">MAX(0,D9*5-Assumptions!$B$15)</f>
        <v>0</v>
      </c>
      <c r="E19" s="10" t="n">
        <f aca="false">MAX(0,E9*5-Assumptions!$B$15)</f>
        <v>0</v>
      </c>
      <c r="F19" s="10" t="n">
        <f aca="false">MAX(0,F9*5-Assumptions!$B$15)</f>
        <v>0</v>
      </c>
      <c r="G19" s="10" t="n">
        <f aca="false">MAX(0,G9*5-Assumptions!$B$15)</f>
        <v>0</v>
      </c>
      <c r="H19" s="10" t="n">
        <f aca="false">MAX(0,H9*5-Assumptions!$B$15)</f>
        <v>0</v>
      </c>
      <c r="I19" s="10" t="n">
        <f aca="false">MAX(0,I9*5-Assumptions!$B$15)</f>
        <v>0</v>
      </c>
      <c r="J19" s="10" t="n">
        <f aca="false">MAX(0,J9*5-Assumptions!$B$15)</f>
        <v>0</v>
      </c>
      <c r="K19" s="10" t="n">
        <f aca="false">MAX(0,K9*5-Assumptions!$B$15)</f>
        <v>0</v>
      </c>
      <c r="L19" s="10" t="n">
        <f aca="false">MAX(0,L9*5-Assumptions!$B$15)</f>
        <v>0</v>
      </c>
      <c r="M19" s="10" t="n">
        <f aca="false">MAX(0,M9*5-Assumptions!$B$15)</f>
        <v>0</v>
      </c>
      <c r="N19" s="10" t="n">
        <f aca="false">MAX(0,N9*5-Assumptions!$B$15)</f>
        <v>0</v>
      </c>
      <c r="O19" s="10" t="n">
        <f aca="false">MAX(0,O9*5-Assumptions!$B$15)</f>
        <v>65</v>
      </c>
      <c r="P19" s="10" t="n">
        <f aca="false">MAX(0,P9*5-Assumptions!$B$15)</f>
        <v>510</v>
      </c>
      <c r="Q19" s="10" t="n">
        <f aca="false">MAX(0,Q9*5-Assumptions!$B$15)</f>
        <v>935</v>
      </c>
      <c r="R19" s="10" t="n">
        <f aca="false">MAX(0,R9*5-Assumptions!$B$15)</f>
        <v>1340</v>
      </c>
      <c r="S19" s="10" t="n">
        <f aca="false">MAX(0,S9*5-Assumptions!$B$15)</f>
        <v>1725</v>
      </c>
      <c r="T19" s="10" t="n">
        <f aca="false">MAX(0,T9*5-Assumptions!$B$15)</f>
        <v>2365</v>
      </c>
      <c r="U19" s="10" t="n">
        <f aca="false">MAX(0,U9*5-Assumptions!$B$15)</f>
        <v>2970</v>
      </c>
      <c r="V19" s="10" t="n">
        <f aca="false">MAX(0,V9*5-Assumptions!$B$15)</f>
        <v>3545</v>
      </c>
      <c r="W19" s="10" t="n">
        <f aca="false">MAX(0,W9*5-Assumptions!$B$15)</f>
        <v>4095</v>
      </c>
      <c r="X19" s="10" t="n">
        <f aca="false">MAX(0,X9*5-Assumptions!$B$15)</f>
        <v>4615</v>
      </c>
      <c r="Y19" s="10" t="n">
        <f aca="false">MAX(0,Y9*5-Assumptions!$B$15)</f>
        <v>5110</v>
      </c>
      <c r="Z19" s="10" t="n">
        <f aca="false">MAX(0,Z9*5-Assumptions!$B$15)</f>
        <v>5955</v>
      </c>
      <c r="AA19" s="10" t="n">
        <f aca="false">MAX(0,AA9*5-Assumptions!$B$15)</f>
        <v>6755</v>
      </c>
      <c r="AB19" s="10" t="n">
        <f aca="false">MAX(0,AB9*5-Assumptions!$B$15)</f>
        <v>7515</v>
      </c>
      <c r="AC19" s="10" t="n">
        <f aca="false">MAX(0,AC9*5-Assumptions!$B$15)</f>
        <v>8240</v>
      </c>
      <c r="AD19" s="10" t="n">
        <f aca="false">MAX(0,AD9*5-Assumptions!$B$15)</f>
        <v>8930</v>
      </c>
      <c r="AE19" s="10" t="n">
        <f aca="false">MAX(0,AE9*5-Assumptions!$B$15)</f>
        <v>9585</v>
      </c>
      <c r="AF19" s="10" t="n">
        <f aca="false">MAX(0,AF9*5-Assumptions!$B$15)</f>
        <v>10205</v>
      </c>
      <c r="AG19" s="10" t="n">
        <f aca="false">MAX(0,AG9*5-Assumptions!$B$15)</f>
        <v>10795</v>
      </c>
      <c r="AH19" s="10" t="n">
        <f aca="false">MAX(0,AH9*5-Assumptions!$B$15)</f>
        <v>11355</v>
      </c>
      <c r="AI19" s="10" t="n">
        <f aca="false">MAX(0,AI9*5-Assumptions!$B$15)</f>
        <v>11885</v>
      </c>
      <c r="AJ19" s="10" t="n">
        <f aca="false">MAX(0,AJ9*5-Assumptions!$B$15)</f>
        <v>12390</v>
      </c>
      <c r="AK19" s="10" t="n">
        <f aca="false">MAX(0,AK9*5-Assumptions!$B$15)</f>
        <v>12870</v>
      </c>
    </row>
    <row r="20" customFormat="false" ht="15" hidden="false" customHeight="true" outlineLevel="0" collapsed="false">
      <c r="A20" s="11" t="s">
        <v>110</v>
      </c>
      <c r="B20" s="21" t="n">
        <f aca="false">B18+B19</f>
        <v>27800</v>
      </c>
      <c r="C20" s="21" t="n">
        <f aca="false">C18+C19</f>
        <v>27800</v>
      </c>
      <c r="D20" s="21" t="n">
        <f aca="false">D18+D19</f>
        <v>27800</v>
      </c>
      <c r="E20" s="21" t="n">
        <f aca="false">E18+E19</f>
        <v>29190</v>
      </c>
      <c r="F20" s="21" t="n">
        <f aca="false">F18+F19</f>
        <v>29190</v>
      </c>
      <c r="G20" s="21" t="n">
        <f aca="false">G18+G19</f>
        <v>29190</v>
      </c>
      <c r="H20" s="21" t="n">
        <f aca="false">H18+H19</f>
        <v>30649.5</v>
      </c>
      <c r="I20" s="21" t="n">
        <f aca="false">I18+I19</f>
        <v>30649.5</v>
      </c>
      <c r="J20" s="21" t="n">
        <f aca="false">J18+J19</f>
        <v>30649.5</v>
      </c>
      <c r="K20" s="21" t="n">
        <f aca="false">K18+K19</f>
        <v>32181.975</v>
      </c>
      <c r="L20" s="21" t="n">
        <f aca="false">L18+L19</f>
        <v>32181.975</v>
      </c>
      <c r="M20" s="21" t="n">
        <f aca="false">M18+M19</f>
        <v>32181.975</v>
      </c>
      <c r="N20" s="21" t="n">
        <f aca="false">N18+N19</f>
        <v>33791.07375</v>
      </c>
      <c r="O20" s="21" t="n">
        <f aca="false">O18+O19</f>
        <v>33856.07375</v>
      </c>
      <c r="P20" s="21" t="n">
        <f aca="false">P18+P19</f>
        <v>34301.07375</v>
      </c>
      <c r="Q20" s="21" t="n">
        <f aca="false">Q18+Q19</f>
        <v>36415.6274375</v>
      </c>
      <c r="R20" s="21" t="n">
        <f aca="false">R18+R19</f>
        <v>36820.6274375</v>
      </c>
      <c r="S20" s="21" t="n">
        <f aca="false">S18+S19</f>
        <v>37205.6274375</v>
      </c>
      <c r="T20" s="21" t="n">
        <f aca="false">T18+T19</f>
        <v>39619.658809375</v>
      </c>
      <c r="U20" s="21" t="n">
        <f aca="false">U18+U19</f>
        <v>40224.658809375</v>
      </c>
      <c r="V20" s="21" t="n">
        <f aca="false">V18+V19</f>
        <v>40799.658809375</v>
      </c>
      <c r="W20" s="21" t="n">
        <f aca="false">W18+W19</f>
        <v>43212.3917498438</v>
      </c>
      <c r="X20" s="21" t="n">
        <f aca="false">X18+X19</f>
        <v>43732.3917498438</v>
      </c>
      <c r="Y20" s="21" t="n">
        <f aca="false">Y18+Y19</f>
        <v>44227.3917498438</v>
      </c>
      <c r="Z20" s="21" t="n">
        <f aca="false">Z18+Z19</f>
        <v>47028.261337336</v>
      </c>
      <c r="AA20" s="21" t="n">
        <f aca="false">AA18+AA19</f>
        <v>47828.261337336</v>
      </c>
      <c r="AB20" s="21" t="n">
        <f aca="false">AB18+AB19</f>
        <v>48588.261337336</v>
      </c>
      <c r="AC20" s="21" t="n">
        <f aca="false">AC18+AC19</f>
        <v>51366.9244042028</v>
      </c>
      <c r="AD20" s="21" t="n">
        <f aca="false">AD18+AD19</f>
        <v>52056.9244042028</v>
      </c>
      <c r="AE20" s="21" t="n">
        <f aca="false">AE18+AE19</f>
        <v>52711.9244042028</v>
      </c>
      <c r="AF20" s="21" t="n">
        <f aca="false">AF18+AF19</f>
        <v>55488.2706244129</v>
      </c>
      <c r="AG20" s="21" t="n">
        <f aca="false">AG18+AG19</f>
        <v>56078.2706244129</v>
      </c>
      <c r="AH20" s="21" t="n">
        <f aca="false">AH18+AH19</f>
        <v>56638.2706244129</v>
      </c>
      <c r="AI20" s="21" t="n">
        <f aca="false">AI18+AI19</f>
        <v>59432.4341556335</v>
      </c>
      <c r="AJ20" s="21" t="n">
        <f aca="false">AJ18+AJ19</f>
        <v>59937.4341556335</v>
      </c>
      <c r="AK20" s="21" t="n">
        <f aca="false">AK18+AK19</f>
        <v>60417.4341556335</v>
      </c>
    </row>
    <row r="22" customFormat="false" ht="15" hidden="false" customHeight="true" outlineLevel="0" collapsed="false">
      <c r="A22" s="5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customFormat="false" ht="15" hidden="false" customHeight="true" outlineLevel="0" collapsed="false">
      <c r="A23" s="6" t="s">
        <v>112</v>
      </c>
      <c r="B23" s="10" t="n">
        <f aca="false">B15-B20</f>
        <v>-26188.4166666667</v>
      </c>
      <c r="C23" s="10" t="n">
        <f aca="false">C15-C20</f>
        <v>-24737.5833333333</v>
      </c>
      <c r="D23" s="10" t="n">
        <f aca="false">D15-D20</f>
        <v>-23286.75</v>
      </c>
      <c r="E23" s="10" t="n">
        <f aca="false">E15-E20</f>
        <v>-20810.5833333333</v>
      </c>
      <c r="F23" s="10" t="n">
        <f aca="false">F15-F20</f>
        <v>-17265.9166666667</v>
      </c>
      <c r="G23" s="10" t="n">
        <f aca="false">G15-G20</f>
        <v>-13877.9166666667</v>
      </c>
      <c r="H23" s="10" t="n">
        <f aca="false">H15-H20</f>
        <v>-8087.33333333333</v>
      </c>
      <c r="I23" s="10" t="n">
        <f aca="false">I15-I20</f>
        <v>-1158.75</v>
      </c>
      <c r="J23" s="10" t="n">
        <f aca="false">J15-J20</f>
        <v>5448.33333333334</v>
      </c>
      <c r="K23" s="10" t="n">
        <f aca="false">K15-K20</f>
        <v>15036.1916666667</v>
      </c>
      <c r="L23" s="10" t="n">
        <f aca="false">L15-L20</f>
        <v>25513.525</v>
      </c>
      <c r="M23" s="10" t="n">
        <f aca="false">M15-M20</f>
        <v>35504.525</v>
      </c>
      <c r="N23" s="10" t="n">
        <f aca="false">N15-N20</f>
        <v>49850.5095833333</v>
      </c>
      <c r="O23" s="10" t="n">
        <f aca="false">O15-O20</f>
        <v>64932.7595833333</v>
      </c>
      <c r="P23" s="10" t="n">
        <f aca="false">P15-P20</f>
        <v>78831.2595833333</v>
      </c>
      <c r="Q23" s="10" t="n">
        <f aca="false">Q15-Q20</f>
        <v>90417.2058958333</v>
      </c>
      <c r="R23" s="10" t="n">
        <f aca="false">R15-R20</f>
        <v>103065.6225625</v>
      </c>
      <c r="S23" s="10" t="n">
        <f aca="false">S15-S20</f>
        <v>115091.039229167</v>
      </c>
      <c r="T23" s="10" t="n">
        <f aca="false">T15-T20</f>
        <v>133302.007857292</v>
      </c>
      <c r="U23" s="10" t="n">
        <f aca="false">U15-U20</f>
        <v>152196.757857292</v>
      </c>
      <c r="V23" s="10" t="n">
        <f aca="false">V15-V20</f>
        <v>170157.007857292</v>
      </c>
      <c r="W23" s="10" t="n">
        <f aca="false">W15-W20</f>
        <v>185471.69158349</v>
      </c>
      <c r="X23" s="10" t="n">
        <f aca="false">X15-X20</f>
        <v>201710.524916823</v>
      </c>
      <c r="Y23" s="10" t="n">
        <f aca="false">Y15-Y20</f>
        <v>217170.608250156</v>
      </c>
      <c r="Z23" s="10" t="n">
        <f aca="false">Z15-Z20</f>
        <v>241605.905329331</v>
      </c>
      <c r="AA23" s="10" t="n">
        <f aca="false">AA15-AA20</f>
        <v>266591.238662664</v>
      </c>
      <c r="AB23" s="10" t="n">
        <f aca="false">AB15-AB20</f>
        <v>290326.488662664</v>
      </c>
      <c r="AC23" s="10" t="n">
        <f aca="false">AC15-AC20</f>
        <v>310917.825595797</v>
      </c>
      <c r="AD23" s="10" t="n">
        <f aca="false">AD15-AD20</f>
        <v>332468.492262464</v>
      </c>
      <c r="AE23" s="10" t="n">
        <f aca="false">AE15-AE20</f>
        <v>352924.825595797</v>
      </c>
      <c r="AF23" s="10" t="n">
        <f aca="false">AF15-AF20</f>
        <v>370130.479375587</v>
      </c>
      <c r="AG23" s="10" t="n">
        <f aca="false">AG15-AG20</f>
        <v>388557.979375587</v>
      </c>
      <c r="AH23" s="10" t="n">
        <f aca="false">AH15-AH20</f>
        <v>406046.896042254</v>
      </c>
      <c r="AI23" s="10" t="n">
        <f aca="false">AI15-AI20</f>
        <v>420337.1491777</v>
      </c>
      <c r="AJ23" s="10" t="n">
        <f aca="false">AJ15-AJ20</f>
        <v>436108.732511033</v>
      </c>
      <c r="AK23" s="10" t="n">
        <f aca="false">AK15-AK20</f>
        <v>451097.482511033</v>
      </c>
    </row>
    <row r="24" customFormat="false" ht="15" hidden="false" customHeight="true" outlineLevel="0" collapsed="false">
      <c r="A24" s="11" t="s">
        <v>113</v>
      </c>
      <c r="B24" s="12" t="n">
        <f aca="false">Assumptions!$B$11+B23</f>
        <v>776851.583333333</v>
      </c>
      <c r="C24" s="12" t="n">
        <f aca="false">B24+C23</f>
        <v>752114</v>
      </c>
      <c r="D24" s="12" t="n">
        <f aca="false">C24+D23</f>
        <v>728827.25</v>
      </c>
      <c r="E24" s="12" t="n">
        <f aca="false">D24+E23</f>
        <v>708016.666666667</v>
      </c>
      <c r="F24" s="12" t="n">
        <f aca="false">E24+F23</f>
        <v>690750.75</v>
      </c>
      <c r="G24" s="12" t="n">
        <f aca="false">F24+G23</f>
        <v>676872.833333333</v>
      </c>
      <c r="H24" s="12" t="n">
        <f aca="false">G24+H23</f>
        <v>668785.5</v>
      </c>
      <c r="I24" s="12" t="n">
        <f aca="false">H24+I23</f>
        <v>667626.75</v>
      </c>
      <c r="J24" s="12" t="n">
        <f aca="false">I24+J23</f>
        <v>673075.083333333</v>
      </c>
      <c r="K24" s="12" t="n">
        <f aca="false">J24+K23</f>
        <v>688111.275</v>
      </c>
      <c r="L24" s="12" t="n">
        <f aca="false">K24+L23</f>
        <v>713624.8</v>
      </c>
      <c r="M24" s="12" t="n">
        <f aca="false">L24+M23</f>
        <v>749129.325</v>
      </c>
      <c r="N24" s="12" t="n">
        <f aca="false">M24+N23</f>
        <v>798979.834583333</v>
      </c>
      <c r="O24" s="12" t="n">
        <f aca="false">N24+O23</f>
        <v>863912.594166667</v>
      </c>
      <c r="P24" s="12" t="n">
        <f aca="false">O24+P23</f>
        <v>942743.85375</v>
      </c>
      <c r="Q24" s="12" t="n">
        <f aca="false">P24+Q23</f>
        <v>1033161.05964583</v>
      </c>
      <c r="R24" s="12" t="n">
        <f aca="false">Q24+R23</f>
        <v>1136226.68220833</v>
      </c>
      <c r="S24" s="12" t="n">
        <f aca="false">R24+S23</f>
        <v>1251317.7214375</v>
      </c>
      <c r="T24" s="12" t="n">
        <f aca="false">S24+T23</f>
        <v>1384619.72929479</v>
      </c>
      <c r="U24" s="12" t="n">
        <f aca="false">T24+U23</f>
        <v>1536816.48715208</v>
      </c>
      <c r="V24" s="12" t="n">
        <f aca="false">U24+V23</f>
        <v>1706973.49500938</v>
      </c>
      <c r="W24" s="12" t="n">
        <f aca="false">V24+W23</f>
        <v>1892445.18659286</v>
      </c>
      <c r="X24" s="12" t="n">
        <f aca="false">W24+X23</f>
        <v>2094155.71150969</v>
      </c>
      <c r="Y24" s="12" t="n">
        <f aca="false">X24+Y23</f>
        <v>2311326.31975984</v>
      </c>
      <c r="Z24" s="12" t="n">
        <f aca="false">Y24+Z23</f>
        <v>2552932.22508917</v>
      </c>
      <c r="AA24" s="12" t="n">
        <f aca="false">Z24+AA23</f>
        <v>2819523.46375184</v>
      </c>
      <c r="AB24" s="12" t="n">
        <f aca="false">AA24+AB23</f>
        <v>3109849.9524145</v>
      </c>
      <c r="AC24" s="12" t="n">
        <f aca="false">AB24+AC23</f>
        <v>3420767.7780103</v>
      </c>
      <c r="AD24" s="12" t="n">
        <f aca="false">AC24+AD23</f>
        <v>3753236.27027276</v>
      </c>
      <c r="AE24" s="12" t="n">
        <f aca="false">AD24+AE23</f>
        <v>4106161.09586856</v>
      </c>
      <c r="AF24" s="12" t="n">
        <f aca="false">AE24+AF23</f>
        <v>4476291.57524415</v>
      </c>
      <c r="AG24" s="12" t="n">
        <f aca="false">AF24+AG23</f>
        <v>4864849.55461973</v>
      </c>
      <c r="AH24" s="12" t="n">
        <f aca="false">AG24+AH23</f>
        <v>5270896.45066199</v>
      </c>
      <c r="AI24" s="12" t="n">
        <f aca="false">AH24+AI23</f>
        <v>5691233.59983969</v>
      </c>
      <c r="AJ24" s="12" t="n">
        <f aca="false">AI24+AJ23</f>
        <v>6127342.33235072</v>
      </c>
      <c r="AK24" s="12" t="n">
        <f aca="false">AJ24+AK23</f>
        <v>6578439.81486175</v>
      </c>
    </row>
    <row r="25" customFormat="false" ht="15" hidden="false" customHeight="true" outlineLevel="0" collapsed="false">
      <c r="A25" s="6" t="s">
        <v>114</v>
      </c>
      <c r="B25" s="6" t="str">
        <f aca="false">IF(B23&gt;0,"YES","NO")</f>
        <v>NO</v>
      </c>
      <c r="C25" s="6" t="str">
        <f aca="false">IF(C23&gt;0,"YES","NO")</f>
        <v>NO</v>
      </c>
      <c r="D25" s="6" t="str">
        <f aca="false">IF(D23&gt;0,"YES","NO")</f>
        <v>NO</v>
      </c>
      <c r="E25" s="6" t="str">
        <f aca="false">IF(E23&gt;0,"YES","NO")</f>
        <v>NO</v>
      </c>
      <c r="F25" s="6" t="str">
        <f aca="false">IF(F23&gt;0,"YES","NO")</f>
        <v>NO</v>
      </c>
      <c r="G25" s="6" t="str">
        <f aca="false">IF(G23&gt;0,"YES","NO")</f>
        <v>NO</v>
      </c>
      <c r="H25" s="6" t="str">
        <f aca="false">IF(H23&gt;0,"YES","NO")</f>
        <v>NO</v>
      </c>
      <c r="I25" s="6" t="str">
        <f aca="false">IF(I23&gt;0,"YES","NO")</f>
        <v>NO</v>
      </c>
      <c r="J25" s="6" t="str">
        <f aca="false">IF(J23&gt;0,"YES","NO")</f>
        <v>YES</v>
      </c>
      <c r="K25" s="6" t="str">
        <f aca="false">IF(K23&gt;0,"YES","NO")</f>
        <v>YES</v>
      </c>
      <c r="L25" s="6" t="str">
        <f aca="false">IF(L23&gt;0,"YES","NO")</f>
        <v>YES</v>
      </c>
      <c r="M25" s="6" t="str">
        <f aca="false">IF(M23&gt;0,"YES","NO")</f>
        <v>YES</v>
      </c>
      <c r="N25" s="6" t="str">
        <f aca="false">IF(N23&gt;0,"YES","NO")</f>
        <v>YES</v>
      </c>
      <c r="O25" s="6" t="str">
        <f aca="false">IF(O23&gt;0,"YES","NO")</f>
        <v>YES</v>
      </c>
      <c r="P25" s="6" t="str">
        <f aca="false">IF(P23&gt;0,"YES","NO")</f>
        <v>YES</v>
      </c>
      <c r="Q25" s="6" t="str">
        <f aca="false">IF(Q23&gt;0,"YES","NO")</f>
        <v>YES</v>
      </c>
      <c r="R25" s="6" t="str">
        <f aca="false">IF(R23&gt;0,"YES","NO")</f>
        <v>YES</v>
      </c>
      <c r="S25" s="6" t="str">
        <f aca="false">IF(S23&gt;0,"YES","NO")</f>
        <v>YES</v>
      </c>
      <c r="T25" s="6" t="str">
        <f aca="false">IF(T23&gt;0,"YES","NO")</f>
        <v>YES</v>
      </c>
      <c r="U25" s="6" t="str">
        <f aca="false">IF(U23&gt;0,"YES","NO")</f>
        <v>YES</v>
      </c>
      <c r="V25" s="6" t="str">
        <f aca="false">IF(V23&gt;0,"YES","NO")</f>
        <v>YES</v>
      </c>
      <c r="W25" s="6" t="str">
        <f aca="false">IF(W23&gt;0,"YES","NO")</f>
        <v>YES</v>
      </c>
      <c r="X25" s="6" t="str">
        <f aca="false">IF(X23&gt;0,"YES","NO")</f>
        <v>YES</v>
      </c>
      <c r="Y25" s="6" t="str">
        <f aca="false">IF(Y23&gt;0,"YES","NO")</f>
        <v>YES</v>
      </c>
      <c r="Z25" s="6" t="str">
        <f aca="false">IF(Z23&gt;0,"YES","NO")</f>
        <v>YES</v>
      </c>
      <c r="AA25" s="6" t="str">
        <f aca="false">IF(AA23&gt;0,"YES","NO")</f>
        <v>YES</v>
      </c>
      <c r="AB25" s="6" t="str">
        <f aca="false">IF(AB23&gt;0,"YES","NO")</f>
        <v>YES</v>
      </c>
      <c r="AC25" s="6" t="str">
        <f aca="false">IF(AC23&gt;0,"YES","NO")</f>
        <v>YES</v>
      </c>
      <c r="AD25" s="6" t="str">
        <f aca="false">IF(AD23&gt;0,"YES","NO")</f>
        <v>YES</v>
      </c>
      <c r="AE25" s="6" t="str">
        <f aca="false">IF(AE23&gt;0,"YES","NO")</f>
        <v>YES</v>
      </c>
      <c r="AF25" s="6" t="str">
        <f aca="false">IF(AF23&gt;0,"YES","NO")</f>
        <v>YES</v>
      </c>
      <c r="AG25" s="6" t="str">
        <f aca="false">IF(AG23&gt;0,"YES","NO")</f>
        <v>YES</v>
      </c>
      <c r="AH25" s="6" t="str">
        <f aca="false">IF(AH23&gt;0,"YES","NO")</f>
        <v>YES</v>
      </c>
      <c r="AI25" s="6" t="str">
        <f aca="false">IF(AI23&gt;0,"YES","NO")</f>
        <v>YES</v>
      </c>
      <c r="AJ25" s="6" t="str">
        <f aca="false">IF(AJ23&gt;0,"YES","NO")</f>
        <v>YES</v>
      </c>
      <c r="AK25" s="6" t="str">
        <f aca="false">IF(AK23&gt;0,"YES","NO")</f>
        <v>YES</v>
      </c>
    </row>
    <row r="27" customFormat="false" ht="15" hidden="false" customHeight="true" outlineLevel="0" collapsed="false">
      <c r="A27" s="5" t="s">
        <v>115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customFormat="false" ht="15" hidden="false" customHeight="true" outlineLevel="0" collapsed="false">
      <c r="A28" s="6" t="s">
        <v>116</v>
      </c>
      <c r="B28" s="10" t="n">
        <f aca="false">B12</f>
        <v>1527.5</v>
      </c>
      <c r="C28" s="10" t="n">
        <f aca="false">C12</f>
        <v>2902.25</v>
      </c>
      <c r="D28" s="10" t="n">
        <f aca="false">D12</f>
        <v>4277</v>
      </c>
      <c r="E28" s="10" t="n">
        <f aca="false">E12</f>
        <v>7943</v>
      </c>
      <c r="F28" s="10" t="n">
        <f aca="false">F12</f>
        <v>11303.5</v>
      </c>
      <c r="G28" s="10" t="n">
        <f aca="false">G12</f>
        <v>14511.25</v>
      </c>
      <c r="H28" s="10" t="n">
        <f aca="false">H12</f>
        <v>21385</v>
      </c>
      <c r="I28" s="10" t="n">
        <f aca="false">I12</f>
        <v>27953.25</v>
      </c>
      <c r="J28" s="10" t="n">
        <f aca="false">J12</f>
        <v>34216</v>
      </c>
      <c r="K28" s="10" t="n">
        <f aca="false">K12</f>
        <v>44755.75</v>
      </c>
      <c r="L28" s="10" t="n">
        <f aca="false">L12</f>
        <v>54684.5</v>
      </c>
      <c r="M28" s="10" t="n">
        <f aca="false">M12</f>
        <v>64155</v>
      </c>
      <c r="N28" s="10" t="n">
        <f aca="false">N12</f>
        <v>79277.25</v>
      </c>
      <c r="O28" s="10" t="n">
        <f aca="false">O12</f>
        <v>93635.75</v>
      </c>
      <c r="P28" s="10" t="n">
        <f aca="false">P12</f>
        <v>107230.5</v>
      </c>
      <c r="Q28" s="10" t="n">
        <f aca="false">Q12</f>
        <v>120214.25</v>
      </c>
      <c r="R28" s="10" t="n">
        <f aca="false">R12</f>
        <v>132587</v>
      </c>
      <c r="S28" s="10" t="n">
        <f aca="false">S12</f>
        <v>144348.75</v>
      </c>
      <c r="T28" s="10" t="n">
        <f aca="false">T12</f>
        <v>163900.75</v>
      </c>
      <c r="U28" s="10" t="n">
        <f aca="false">U12</f>
        <v>182383.5</v>
      </c>
      <c r="V28" s="10" t="n">
        <f aca="false">V12</f>
        <v>199949.75</v>
      </c>
      <c r="W28" s="10" t="n">
        <f aca="false">W12</f>
        <v>216752.25</v>
      </c>
      <c r="X28" s="10" t="n">
        <f aca="false">X12</f>
        <v>232638.25</v>
      </c>
      <c r="Y28" s="10" t="n">
        <f aca="false">Y12</f>
        <v>247760.5</v>
      </c>
      <c r="Z28" s="10" t="n">
        <f aca="false">Z12</f>
        <v>273575.25</v>
      </c>
      <c r="AA28" s="10" t="n">
        <f aca="false">AA12</f>
        <v>298015.25</v>
      </c>
      <c r="AB28" s="10" t="n">
        <f aca="false">AB12</f>
        <v>321233.25</v>
      </c>
      <c r="AC28" s="10" t="n">
        <f aca="false">AC12</f>
        <v>343382</v>
      </c>
      <c r="AD28" s="10" t="n">
        <f aca="false">AD12</f>
        <v>364461.5</v>
      </c>
      <c r="AE28" s="10" t="n">
        <f aca="false">AE12</f>
        <v>384471.75</v>
      </c>
      <c r="AF28" s="10" t="n">
        <f aca="false">AF12</f>
        <v>403412.75</v>
      </c>
      <c r="AG28" s="10" t="n">
        <f aca="false">AG12</f>
        <v>421437.25</v>
      </c>
      <c r="AH28" s="10" t="n">
        <f aca="false">AH12</f>
        <v>438545.25</v>
      </c>
      <c r="AI28" s="10" t="n">
        <f aca="false">AI12</f>
        <v>454736.75</v>
      </c>
      <c r="AJ28" s="10" t="n">
        <f aca="false">AJ12</f>
        <v>470164.5</v>
      </c>
      <c r="AK28" s="10" t="n">
        <f aca="false">AK12</f>
        <v>484828.5</v>
      </c>
    </row>
    <row r="29" customFormat="false" ht="15" hidden="false" customHeight="true" outlineLevel="0" collapsed="false">
      <c r="A29" s="11" t="s">
        <v>117</v>
      </c>
      <c r="B29" s="12" t="n">
        <f aca="false">B15*12</f>
        <v>19339</v>
      </c>
      <c r="C29" s="12" t="n">
        <f aca="false">C15*12</f>
        <v>36749</v>
      </c>
      <c r="D29" s="12" t="n">
        <f aca="false">D15*12</f>
        <v>54159</v>
      </c>
      <c r="E29" s="12" t="n">
        <f aca="false">E15*12</f>
        <v>100553</v>
      </c>
      <c r="F29" s="12" t="n">
        <f aca="false">F15*12</f>
        <v>143089</v>
      </c>
      <c r="G29" s="12" t="n">
        <f aca="false">G15*12</f>
        <v>183745</v>
      </c>
      <c r="H29" s="12" t="n">
        <f aca="false">H15*12</f>
        <v>270746</v>
      </c>
      <c r="I29" s="12" t="n">
        <f aca="false">I15*12</f>
        <v>353889</v>
      </c>
      <c r="J29" s="12" t="n">
        <f aca="false">J15*12</f>
        <v>433174</v>
      </c>
      <c r="K29" s="12" t="n">
        <f aca="false">K15*12</f>
        <v>566618</v>
      </c>
      <c r="L29" s="12" t="n">
        <f aca="false">L15*12</f>
        <v>692346</v>
      </c>
      <c r="M29" s="12" t="n">
        <f aca="false">M15*12</f>
        <v>812238</v>
      </c>
      <c r="N29" s="12" t="n">
        <f aca="false">N15*12</f>
        <v>1003699</v>
      </c>
      <c r="O29" s="12" t="n">
        <f aca="false">O15*12</f>
        <v>1185466</v>
      </c>
      <c r="P29" s="12" t="n">
        <f aca="false">P15*12</f>
        <v>1357588</v>
      </c>
      <c r="Q29" s="12" t="n">
        <f aca="false">Q15*12</f>
        <v>1521994</v>
      </c>
      <c r="R29" s="12" t="n">
        <f aca="false">R15*12</f>
        <v>1678635</v>
      </c>
      <c r="S29" s="12" t="n">
        <f aca="false">S15*12</f>
        <v>1827560</v>
      </c>
      <c r="T29" s="12" t="n">
        <f aca="false">T15*12</f>
        <v>2075060</v>
      </c>
      <c r="U29" s="12" t="n">
        <f aca="false">U15*12</f>
        <v>2309057</v>
      </c>
      <c r="V29" s="12" t="n">
        <f aca="false">V15*12</f>
        <v>2531480</v>
      </c>
      <c r="W29" s="12" t="n">
        <f aca="false">W15*12</f>
        <v>2744209</v>
      </c>
      <c r="X29" s="12" t="n">
        <f aca="false">X15*12</f>
        <v>2945315</v>
      </c>
      <c r="Y29" s="12" t="n">
        <f aca="false">Y15*12</f>
        <v>3136776</v>
      </c>
      <c r="Z29" s="12" t="n">
        <f aca="false">Z15*12</f>
        <v>3463610</v>
      </c>
      <c r="AA29" s="12" t="n">
        <f aca="false">AA15*12</f>
        <v>3773034</v>
      </c>
      <c r="AB29" s="12" t="n">
        <f aca="false">AB15*12</f>
        <v>4066977</v>
      </c>
      <c r="AC29" s="12" t="n">
        <f aca="false">AC15*12</f>
        <v>4347417</v>
      </c>
      <c r="AD29" s="12" t="n">
        <f aca="false">AD15*12</f>
        <v>4614305</v>
      </c>
      <c r="AE29" s="12" t="n">
        <f aca="false">AE15*12</f>
        <v>4867641</v>
      </c>
      <c r="AF29" s="12" t="n">
        <f aca="false">AF15*12</f>
        <v>5107425</v>
      </c>
      <c r="AG29" s="12" t="n">
        <f aca="false">AG15*12</f>
        <v>5335635</v>
      </c>
      <c r="AH29" s="12" t="n">
        <f aca="false">AH15*12</f>
        <v>5552222</v>
      </c>
      <c r="AI29" s="12" t="n">
        <f aca="false">AI15*12</f>
        <v>5757235</v>
      </c>
      <c r="AJ29" s="12" t="n">
        <f aca="false">AJ15*12</f>
        <v>5952554</v>
      </c>
      <c r="AK29" s="12" t="n">
        <f aca="false">AK15*12</f>
        <v>6138179</v>
      </c>
    </row>
    <row r="30" customFormat="false" ht="15" hidden="false" customHeight="true" outlineLevel="0" collapsed="false">
      <c r="A30" s="6" t="s">
        <v>118</v>
      </c>
      <c r="B30" s="6" t="n">
        <f aca="false">IF(B15=0,"-",B20/B15)</f>
        <v>17.2501163452092</v>
      </c>
      <c r="C30" s="6" t="n">
        <f aca="false">IF(C15=0,"-",C20/C15)</f>
        <v>9.07779803532069</v>
      </c>
      <c r="D30" s="6" t="n">
        <f aca="false">IF(D15=0,"-",D20/D15)</f>
        <v>6.15964105688805</v>
      </c>
      <c r="E30" s="6" t="n">
        <f aca="false">IF(E15=0,"-",E20/E15)</f>
        <v>3.48353604566746</v>
      </c>
      <c r="F30" s="6" t="n">
        <f aca="false">IF(F15=0,"-",F20/F15)</f>
        <v>2.44798691723333</v>
      </c>
      <c r="G30" s="6" t="n">
        <f aca="false">IF(G15=0,"-",G20/G15)</f>
        <v>1.90633758741734</v>
      </c>
      <c r="H30" s="6" t="n">
        <f aca="false">IF(H15=0,"-",H20/H15)</f>
        <v>1.35844666218522</v>
      </c>
      <c r="I30" s="6" t="n">
        <f aca="false">IF(I15=0,"-",I20/I15)</f>
        <v>1.03929198138399</v>
      </c>
      <c r="J30" s="6" t="n">
        <f aca="false">IF(J15=0,"-",J20/J15)</f>
        <v>0.849067580233347</v>
      </c>
      <c r="K30" s="6" t="n">
        <f aca="false">IF(K15=0,"-",K20/K15)</f>
        <v>0.681559180964954</v>
      </c>
      <c r="L30" s="6" t="n">
        <f aca="false">IF(L15=0,"-",L20/L15)</f>
        <v>0.557790035618029</v>
      </c>
      <c r="M30" s="6" t="n">
        <f aca="false">IF(M15=0,"-",M20/M15)</f>
        <v>0.475456331764828</v>
      </c>
      <c r="N30" s="6" t="n">
        <f aca="false">IF(N15=0,"-",N20/N15)</f>
        <v>0.403998494568591</v>
      </c>
      <c r="O30" s="6" t="n">
        <f aca="false">IF(O15=0,"-",O20/O15)</f>
        <v>0.342711545501938</v>
      </c>
      <c r="P30" s="6" t="n">
        <f aca="false">IF(P15=0,"-",P20/P15)</f>
        <v>0.303194257020539</v>
      </c>
      <c r="Q30" s="6" t="n">
        <f aca="false">IF(Q15=0,"-",Q20/Q15)</f>
        <v>0.287115145821863</v>
      </c>
      <c r="R30" s="6" t="n">
        <f aca="false">IF(R15=0,"-",R20/R15)</f>
        <v>0.263218346603044</v>
      </c>
      <c r="S30" s="6" t="n">
        <f aca="false">IF(S15=0,"-",S20/S15)</f>
        <v>0.244297056868174</v>
      </c>
      <c r="T30" s="6" t="n">
        <f aca="false">IF(T15=0,"-",T20/T15)</f>
        <v>0.229119112561806</v>
      </c>
      <c r="U30" s="6" t="n">
        <f aca="false">IF(U15=0,"-",U20/U15)</f>
        <v>0.209044603798217</v>
      </c>
      <c r="V30" s="6" t="n">
        <f aca="false">IF(V15=0,"-",V20/V15)</f>
        <v>0.193403031314686</v>
      </c>
      <c r="W30" s="6" t="n">
        <f aca="false">IF(W15=0,"-",W20/W15)</f>
        <v>0.188961081680778</v>
      </c>
      <c r="X30" s="6" t="n">
        <f aca="false">IF(X15=0,"-",X20/X15)</f>
        <v>0.178177444856705</v>
      </c>
      <c r="Y30" s="6" t="n">
        <f aca="false">IF(Y15=0,"-",Y20/Y15)</f>
        <v>0.169195601151668</v>
      </c>
      <c r="Z30" s="6" t="n">
        <f aca="false">IF(Z15=0,"-",Z20/Z15)</f>
        <v>0.162933799142522</v>
      </c>
      <c r="AA30" s="6" t="n">
        <f aca="false">IF(AA15=0,"-",AA20/AA15)</f>
        <v>0.152116078479025</v>
      </c>
      <c r="AB30" s="6" t="n">
        <f aca="false">IF(AB15=0,"-",AB20/AB15)</f>
        <v>0.143364257050884</v>
      </c>
      <c r="AC30" s="6" t="n">
        <f aca="false">IF(AC15=0,"-",AC20/AC15)</f>
        <v>0.141786052005233</v>
      </c>
      <c r="AD30" s="6" t="n">
        <f aca="false">IF(AD15=0,"-",AD20/AD15)</f>
        <v>0.135379671012305</v>
      </c>
      <c r="AE30" s="6" t="n">
        <f aca="false">IF(AE15=0,"-",AE20/AE15)</f>
        <v>0.129948591699847</v>
      </c>
      <c r="AF30" s="6" t="n">
        <f aca="false">IF(AF15=0,"-",AF20/AF15)</f>
        <v>0.130370832169431</v>
      </c>
      <c r="AG30" s="6" t="n">
        <f aca="false">IF(AG15=0,"-",AG20/AG15)</f>
        <v>0.126121679517612</v>
      </c>
      <c r="AH30" s="6" t="n">
        <f aca="false">IF(AH15=0,"-",AH20/AH15)</f>
        <v>0.122412116715246</v>
      </c>
      <c r="AI30" s="6" t="n">
        <f aca="false">IF(AI15=0,"-",AI20/AI15)</f>
        <v>0.123877036436345</v>
      </c>
      <c r="AJ30" s="6" t="n">
        <f aca="false">IF(AJ15=0,"-",AJ20/AJ15)</f>
        <v>0.120830354477692</v>
      </c>
      <c r="AK30" s="6" t="n">
        <f aca="false">IF(AK15=0,"-",AK20/AK15)</f>
        <v>0.118114706310716</v>
      </c>
    </row>
    <row r="31" customFormat="false" ht="15" hidden="false" customHeight="true" outlineLevel="0" collapsed="false">
      <c r="A31" s="6" t="s">
        <v>119</v>
      </c>
      <c r="B31" s="10" t="n">
        <f aca="false">IF(B23&gt;=0,"∞",B24/(-B23))</f>
        <v>29.6639385733515</v>
      </c>
      <c r="C31" s="10" t="n">
        <f aca="false">IF(C23&gt;=0,"∞",C24/(-C23))</f>
        <v>30.4036974778593</v>
      </c>
      <c r="D31" s="10" t="n">
        <f aca="false">IF(D23&gt;=0,"∞",D24/(-D23))</f>
        <v>31.2979376684166</v>
      </c>
      <c r="E31" s="10" t="n">
        <f aca="false">IF(E23&gt;=0,"∞",E24/(-E23))</f>
        <v>34.0219519715529</v>
      </c>
      <c r="F31" s="10" t="n">
        <f aca="false">IF(F23&gt;=0,"∞",F24/(-F23))</f>
        <v>40.0066074298594</v>
      </c>
      <c r="G31" s="10" t="n">
        <f aca="false">IF(G23&gt;=0,"∞",G24/(-G23))</f>
        <v>48.7733749662233</v>
      </c>
      <c r="H31" s="10" t="n">
        <f aca="false">IF(H23&gt;=0,"∞",H24/(-H23))</f>
        <v>82.6954290660292</v>
      </c>
      <c r="I31" s="10" t="n">
        <f aca="false">IF(I23&gt;=0,"∞",I24/(-I23))</f>
        <v>576.161165048544</v>
      </c>
      <c r="J31" s="6" t="str">
        <f aca="false">IF(J23&gt;=0,"∞",J24/(-J23))</f>
        <v>∞</v>
      </c>
      <c r="K31" s="6" t="str">
        <f aca="false">IF(K23&gt;=0,"∞",K24/(-K23))</f>
        <v>∞</v>
      </c>
      <c r="L31" s="6" t="str">
        <f aca="false">IF(L23&gt;=0,"∞",L24/(-L23))</f>
        <v>∞</v>
      </c>
      <c r="M31" s="6" t="str">
        <f aca="false">IF(M23&gt;=0,"∞",M24/(-M23))</f>
        <v>∞</v>
      </c>
      <c r="N31" s="6" t="str">
        <f aca="false">IF(N23&gt;=0,"∞",N24/(-N23))</f>
        <v>∞</v>
      </c>
      <c r="O31" s="6" t="str">
        <f aca="false">IF(O23&gt;=0,"∞",O24/(-O23))</f>
        <v>∞</v>
      </c>
      <c r="P31" s="6" t="str">
        <f aca="false">IF(P23&gt;=0,"∞",P24/(-P23))</f>
        <v>∞</v>
      </c>
      <c r="Q31" s="6" t="str">
        <f aca="false">IF(Q23&gt;=0,"∞",Q24/(-Q23))</f>
        <v>∞</v>
      </c>
      <c r="R31" s="6" t="str">
        <f aca="false">IF(R23&gt;=0,"∞",R24/(-R23))</f>
        <v>∞</v>
      </c>
      <c r="S31" s="6" t="str">
        <f aca="false">IF(S23&gt;=0,"∞",S24/(-S23))</f>
        <v>∞</v>
      </c>
      <c r="T31" s="6" t="str">
        <f aca="false">IF(T23&gt;=0,"∞",T24/(-T23))</f>
        <v>∞</v>
      </c>
      <c r="U31" s="6" t="str">
        <f aca="false">IF(U23&gt;=0,"∞",U24/(-U23))</f>
        <v>∞</v>
      </c>
      <c r="V31" s="6" t="str">
        <f aca="false">IF(V23&gt;=0,"∞",V24/(-V23))</f>
        <v>∞</v>
      </c>
      <c r="W31" s="6" t="str">
        <f aca="false">IF(W23&gt;=0,"∞",W24/(-W23))</f>
        <v>∞</v>
      </c>
      <c r="X31" s="6" t="str">
        <f aca="false">IF(X23&gt;=0,"∞",X24/(-X23))</f>
        <v>∞</v>
      </c>
      <c r="Y31" s="6" t="str">
        <f aca="false">IF(Y23&gt;=0,"∞",Y24/(-Y23))</f>
        <v>∞</v>
      </c>
      <c r="Z31" s="6" t="str">
        <f aca="false">IF(Z23&gt;=0,"∞",Z24/(-Z23))</f>
        <v>∞</v>
      </c>
      <c r="AA31" s="6" t="str">
        <f aca="false">IF(AA23&gt;=0,"∞",AA24/(-AA23))</f>
        <v>∞</v>
      </c>
      <c r="AB31" s="6" t="str">
        <f aca="false">IF(AB23&gt;=0,"∞",AB24/(-AB23))</f>
        <v>∞</v>
      </c>
      <c r="AC31" s="6" t="str">
        <f aca="false">IF(AC23&gt;=0,"∞",AC24/(-AC23))</f>
        <v>∞</v>
      </c>
      <c r="AD31" s="6" t="str">
        <f aca="false">IF(AD23&gt;=0,"∞",AD24/(-AD23))</f>
        <v>∞</v>
      </c>
      <c r="AE31" s="6" t="str">
        <f aca="false">IF(AE23&gt;=0,"∞",AE24/(-AE23))</f>
        <v>∞</v>
      </c>
      <c r="AF31" s="6" t="str">
        <f aca="false">IF(AF23&gt;=0,"∞",AF24/(-AF23))</f>
        <v>∞</v>
      </c>
      <c r="AG31" s="6" t="str">
        <f aca="false">IF(AG23&gt;=0,"∞",AG24/(-AG23))</f>
        <v>∞</v>
      </c>
      <c r="AH31" s="6" t="str">
        <f aca="false">IF(AH23&gt;=0,"∞",AH24/(-AH23))</f>
        <v>∞</v>
      </c>
      <c r="AI31" s="6" t="str">
        <f aca="false">IF(AI23&gt;=0,"∞",AI24/(-AI23))</f>
        <v>∞</v>
      </c>
      <c r="AJ31" s="6" t="str">
        <f aca="false">IF(AJ23&gt;=0,"∞",AJ24/(-AJ23))</f>
        <v>∞</v>
      </c>
      <c r="AK31" s="6" t="str">
        <f aca="false">IF(AK23&gt;=0,"∞",AK24/(-AK23))</f>
        <v>∞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6167"/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20"/>
  </cols>
  <sheetData>
    <row r="1" customFormat="false" ht="19.5" hidden="false" customHeight="true" outlineLevel="0" collapsed="false">
      <c r="A1" s="2" t="s">
        <v>122</v>
      </c>
    </row>
    <row r="3" customFormat="false" ht="15" hidden="false" customHeight="true" outlineLevel="0" collapsed="false">
      <c r="A3" s="22" t="s">
        <v>123</v>
      </c>
      <c r="B3" s="22" t="s">
        <v>44</v>
      </c>
      <c r="C3" s="22" t="s">
        <v>45</v>
      </c>
      <c r="D3" s="22" t="s">
        <v>47</v>
      </c>
    </row>
    <row r="4" customFormat="false" ht="15" hidden="false" customHeight="true" outlineLevel="0" collapsed="false">
      <c r="A4" s="6" t="s">
        <v>124</v>
      </c>
      <c r="B4" s="10" t="n">
        <f aca="false">Assumptions!B11</f>
        <v>803040</v>
      </c>
      <c r="C4" s="10" t="n">
        <f aca="false">Assumptions!B11</f>
        <v>803040</v>
      </c>
      <c r="D4" s="10" t="n">
        <f aca="false">Assumptions!B11</f>
        <v>803040</v>
      </c>
    </row>
    <row r="5" customFormat="false" ht="15" hidden="false" customHeight="true" outlineLevel="0" collapsed="false">
      <c r="A5" s="6" t="s">
        <v>125</v>
      </c>
      <c r="B5" s="10" t="n">
        <f aca="false">Assumptions!B21</f>
        <v>27800</v>
      </c>
      <c r="C5" s="10" t="n">
        <f aca="false">Assumptions!B21</f>
        <v>27800</v>
      </c>
      <c r="D5" s="10" t="n">
        <f aca="false">Assumptions!B21</f>
        <v>27800</v>
      </c>
    </row>
    <row r="6" customFormat="false" ht="15" hidden="false" customHeight="true" outlineLevel="0" collapsed="false">
      <c r="A6" s="6" t="s">
        <v>21</v>
      </c>
      <c r="B6" s="20" t="n">
        <f aca="false">Assumptions!B22</f>
        <v>29</v>
      </c>
      <c r="C6" s="20" t="n">
        <f aca="false">Assumptions!B22</f>
        <v>29</v>
      </c>
      <c r="D6" s="20" t="n">
        <f aca="false">Assumptions!B22</f>
        <v>29</v>
      </c>
    </row>
    <row r="7" customFormat="false" ht="15" hidden="false" customHeight="true" outlineLevel="0" collapsed="false">
      <c r="A7" s="11"/>
      <c r="B7" s="23" t="n">
        <f aca="false">'No Revenue'!M9</f>
        <v>0</v>
      </c>
      <c r="C7" s="23" t="n">
        <f aca="false">'Base Case'!M9</f>
        <v>177</v>
      </c>
      <c r="D7" s="23" t="n">
        <f aca="false">'Best Case'!M9</f>
        <v>420</v>
      </c>
    </row>
    <row r="8" customFormat="false" ht="15" hidden="false" customHeight="true" outlineLevel="0" collapsed="false">
      <c r="A8" s="6" t="s">
        <v>126</v>
      </c>
      <c r="B8" s="20" t="n">
        <f aca="false">'No Revenue'!M9</f>
        <v>0</v>
      </c>
      <c r="C8" s="20" t="n">
        <f aca="false">'Base Case'!M9</f>
        <v>177</v>
      </c>
      <c r="D8" s="20" t="n">
        <f aca="false">'Best Case'!M9</f>
        <v>420</v>
      </c>
    </row>
    <row r="9" customFormat="false" ht="15" hidden="false" customHeight="true" outlineLevel="0" collapsed="false">
      <c r="A9" s="6" t="s">
        <v>127</v>
      </c>
      <c r="B9" s="20" t="n">
        <f aca="false">'No Revenue'!Y9</f>
        <v>0</v>
      </c>
      <c r="C9" s="20" t="n">
        <f aca="false">'Base Case'!Y9</f>
        <v>687</v>
      </c>
      <c r="D9" s="20" t="n">
        <f aca="false">'Best Case'!Y9</f>
        <v>1622</v>
      </c>
    </row>
    <row r="10" customFormat="false" ht="15" hidden="false" customHeight="true" outlineLevel="0" collapsed="false">
      <c r="A10" s="6" t="s">
        <v>128</v>
      </c>
      <c r="B10" s="20" t="n">
        <f aca="false">'No Revenue'!AK9</f>
        <v>0</v>
      </c>
      <c r="C10" s="20" t="n">
        <f aca="false">'Base Case'!AK9</f>
        <v>1289</v>
      </c>
      <c r="D10" s="20" t="n">
        <f aca="false">'Best Case'!AK9</f>
        <v>3174</v>
      </c>
    </row>
    <row r="11" customFormat="false" ht="15" hidden="false" customHeight="true" outlineLevel="0" collapsed="false">
      <c r="A11" s="11"/>
      <c r="B11" s="24" t="n">
        <f aca="false">'No Revenue'!M12</f>
        <v>0</v>
      </c>
      <c r="C11" s="24" t="n">
        <f aca="false">'Base Case'!M12</f>
        <v>27036.75</v>
      </c>
      <c r="D11" s="24" t="n">
        <f aca="false">'Best Case'!M12</f>
        <v>64155</v>
      </c>
    </row>
    <row r="12" customFormat="false" ht="15" hidden="false" customHeight="true" outlineLevel="0" collapsed="false">
      <c r="A12" s="6" t="s">
        <v>129</v>
      </c>
      <c r="B12" s="10" t="n">
        <f aca="false">'No Revenue'!M12</f>
        <v>0</v>
      </c>
      <c r="C12" s="10" t="n">
        <f aca="false">'Base Case'!M12</f>
        <v>27036.75</v>
      </c>
      <c r="D12" s="10" t="n">
        <f aca="false">'Best Case'!M12</f>
        <v>64155</v>
      </c>
    </row>
    <row r="13" customFormat="false" ht="15" hidden="false" customHeight="true" outlineLevel="0" collapsed="false">
      <c r="A13" s="6" t="s">
        <v>130</v>
      </c>
      <c r="B13" s="10" t="n">
        <f aca="false">'No Revenue'!Y12</f>
        <v>0</v>
      </c>
      <c r="C13" s="10" t="n">
        <f aca="false">'Base Case'!Y12</f>
        <v>104939.25</v>
      </c>
      <c r="D13" s="10" t="n">
        <f aca="false">'Best Case'!Y12</f>
        <v>247760.5</v>
      </c>
    </row>
    <row r="14" customFormat="false" ht="15" hidden="false" customHeight="true" outlineLevel="0" collapsed="false">
      <c r="A14" s="6" t="s">
        <v>131</v>
      </c>
      <c r="B14" s="10" t="n">
        <f aca="false">'No Revenue'!AK12</f>
        <v>0</v>
      </c>
      <c r="C14" s="10" t="n">
        <f aca="false">'Base Case'!AK12</f>
        <v>196894.75</v>
      </c>
      <c r="D14" s="10" t="n">
        <f aca="false">'Best Case'!AK12</f>
        <v>484828.5</v>
      </c>
    </row>
    <row r="15" customFormat="false" ht="15" hidden="false" customHeight="true" outlineLevel="0" collapsed="false">
      <c r="A15" s="11"/>
      <c r="B15" s="24" t="n">
        <f aca="false">'No Revenue'!M29</f>
        <v>0</v>
      </c>
      <c r="C15" s="24" t="n">
        <f aca="false">'Base Case'!M29</f>
        <v>342315</v>
      </c>
      <c r="D15" s="24" t="n">
        <f aca="false">'Best Case'!M29</f>
        <v>812238</v>
      </c>
    </row>
    <row r="16" customFormat="false" ht="15" hidden="false" customHeight="true" outlineLevel="0" collapsed="false">
      <c r="A16" s="11" t="s">
        <v>132</v>
      </c>
      <c r="B16" s="10" t="n">
        <f aca="false">'No Revenue'!M29</f>
        <v>0</v>
      </c>
      <c r="C16" s="10" t="n">
        <f aca="false">'Base Case'!M29</f>
        <v>342315</v>
      </c>
      <c r="D16" s="10" t="n">
        <f aca="false">'Best Case'!M29</f>
        <v>812238</v>
      </c>
    </row>
    <row r="17" customFormat="false" ht="15" hidden="false" customHeight="true" outlineLevel="0" collapsed="false">
      <c r="A17" s="11" t="s">
        <v>133</v>
      </c>
      <c r="B17" s="10" t="n">
        <f aca="false">'No Revenue'!Y29</f>
        <v>0</v>
      </c>
      <c r="C17" s="10" t="n">
        <f aca="false">'Base Case'!Y29</f>
        <v>1328604</v>
      </c>
      <c r="D17" s="10" t="n">
        <f aca="false">'Best Case'!Y29</f>
        <v>3136776</v>
      </c>
    </row>
    <row r="18" customFormat="false" ht="15" hidden="false" customHeight="true" outlineLevel="0" collapsed="false">
      <c r="A18" s="11" t="s">
        <v>134</v>
      </c>
      <c r="B18" s="10" t="n">
        <f aca="false">'No Revenue'!AK29</f>
        <v>0</v>
      </c>
      <c r="C18" s="10" t="n">
        <f aca="false">'Base Case'!AK29</f>
        <v>2492802</v>
      </c>
      <c r="D18" s="10" t="n">
        <f aca="false">'Best Case'!AK29</f>
        <v>6138179</v>
      </c>
    </row>
    <row r="19" customFormat="false" ht="15" hidden="false" customHeight="true" outlineLevel="0" collapsed="false">
      <c r="A19" s="11"/>
      <c r="B19" s="24" t="n">
        <f aca="false">'No Revenue'!M24</f>
        <v>443575.575</v>
      </c>
      <c r="C19" s="24" t="n">
        <f aca="false">'Base Case'!M24</f>
        <v>571859.241666667</v>
      </c>
      <c r="D19" s="24" t="n">
        <f aca="false">'Best Case'!M24</f>
        <v>749129.325</v>
      </c>
    </row>
    <row r="20" customFormat="false" ht="15" hidden="false" customHeight="true" outlineLevel="0" collapsed="false">
      <c r="A20" s="6" t="s">
        <v>135</v>
      </c>
      <c r="B20" s="25" t="n">
        <f aca="false">'No Revenue'!M24</f>
        <v>443575.575</v>
      </c>
      <c r="C20" s="25" t="n">
        <f aca="false">'Base Case'!M24</f>
        <v>571859.241666667</v>
      </c>
      <c r="D20" s="25" t="n">
        <f aca="false">'Best Case'!M24</f>
        <v>749129.325</v>
      </c>
    </row>
    <row r="21" customFormat="false" ht="15" hidden="false" customHeight="true" outlineLevel="0" collapsed="false">
      <c r="A21" s="6" t="s">
        <v>136</v>
      </c>
      <c r="B21" s="25" t="n">
        <f aca="false">'No Revenue'!Y24</f>
        <v>6644.3197598438</v>
      </c>
      <c r="C21" s="25" t="n">
        <f aca="false">'Base Case'!Y24</f>
        <v>986800.569759844</v>
      </c>
      <c r="D21" s="25" t="n">
        <f aca="false">'Best Case'!Y24</f>
        <v>2311326.31975984</v>
      </c>
    </row>
    <row r="22" customFormat="false" ht="15" hidden="false" customHeight="true" outlineLevel="0" collapsed="false">
      <c r="A22" s="6" t="s">
        <v>137</v>
      </c>
      <c r="B22" s="25" t="n">
        <f aca="false">'No Revenue'!AK24</f>
        <v>-524448.351804912</v>
      </c>
      <c r="C22" s="25" t="n">
        <f aca="false">'Base Case'!AK24</f>
        <v>2447584.89819509</v>
      </c>
      <c r="D22" s="25" t="n">
        <f aca="false">'Best Case'!AK24</f>
        <v>6578439.81486175</v>
      </c>
    </row>
    <row r="23" customFormat="false" ht="15" hidden="false" customHeight="true" outlineLevel="0" collapsed="false">
      <c r="A23" s="11"/>
      <c r="B23" s="1" t="s">
        <v>138</v>
      </c>
      <c r="C23" s="1" t="n">
        <f aca="false">IFERROR(MATCH("YES",'Base Case'!B25:AK25,0),"Not in 36mo")</f>
        <v>13</v>
      </c>
      <c r="D23" s="1" t="n">
        <f aca="false">IFERROR(MATCH("YES",'Best Case'!B25:AK25,0),"Not in 36mo")</f>
        <v>9</v>
      </c>
    </row>
    <row r="24" customFormat="false" ht="15" hidden="false" customHeight="true" outlineLevel="0" collapsed="false">
      <c r="A24" s="11" t="s">
        <v>139</v>
      </c>
      <c r="B24" s="10" t="s">
        <v>138</v>
      </c>
      <c r="C24" s="10" t="n">
        <f aca="false">IFERROR(MATCH("YES",'Base Case'!B25:AK25,0),"Not in 36mo")</f>
        <v>13</v>
      </c>
      <c r="D24" s="10" t="n">
        <f aca="false">IFERROR(MATCH("YES",'Best Case'!B25:AK25,0),"Not in 36mo")</f>
        <v>9</v>
      </c>
    </row>
    <row r="27" customFormat="false" ht="17.25" hidden="false" customHeight="true" outlineLevel="0" collapsed="false">
      <c r="A27" s="16" t="s">
        <v>140</v>
      </c>
    </row>
    <row r="28" customFormat="false" ht="15" hidden="false" customHeight="true" outlineLevel="0" collapsed="false">
      <c r="A28" s="6" t="s">
        <v>141</v>
      </c>
    </row>
    <row r="29" customFormat="false" ht="15" hidden="false" customHeight="true" outlineLevel="0" collapsed="false">
      <c r="A29" s="6" t="s">
        <v>142</v>
      </c>
    </row>
    <row r="30" customFormat="false" ht="15" hidden="false" customHeight="true" outlineLevel="0" collapsed="false">
      <c r="A30" s="6" t="s">
        <v>143</v>
      </c>
    </row>
    <row r="31" customFormat="false" ht="15" hidden="false" customHeight="true" outlineLevel="0" collapsed="false">
      <c r="A31" s="26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2026-03-02T10:40:26Z</dcterms:created>
  <dc:creator>openpyxl</dc:creator>
  <dc:description/>
  <dc:language>en-US</dc:language>
  <cp:lastModifiedBy/>
  <dcterms:modified xsi:type="dcterms:W3CDTF">2026-03-02T10:44:44Z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